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Start here" sheetId="1" state="visible" r:id="rId3"/>
    <sheet name="01 Easy" sheetId="2" state="visible" r:id="rId4"/>
    <sheet name="02 Medium" sheetId="3" state="visible" r:id="rId5"/>
    <sheet name="03 Tough" sheetId="4" state="visible" r:id="rId6"/>
    <sheet name="04 Fixtures &amp; data" sheetId="5" state="visible" r:id="rId7"/>
    <sheet name="05 Progress" sheetId="6" state="visible" r:id="rId8"/>
    <sheet name="06 Skills map" sheetId="7" state="visible" r:id="rId9"/>
  </sheets>
  <definedNames>
    <definedName function="false" hidden="true" localSheetId="1" name="_xlnm._FilterDatabase" vbProcedure="false">'01 Easy'!$A$1:$M$101</definedName>
    <definedName function="false" hidden="true" localSheetId="2" name="_xlnm._FilterDatabase" vbProcedure="false">'02 Medium'!$A$1:$M$101</definedName>
    <definedName function="false" hidden="true" localSheetId="3" name="_xlnm._FilterDatabase" vbProcedure="false">'03 Tough'!$A$1:$M$101</definedName>
    <definedName function="false" hidden="true" localSheetId="4" name="_xlnm._FilterDatabase" vbProcedure="false">'04 Fixtures &amp; data'!$A$1:$D$47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<sst xmlns="http://schemas.openxmlformats.org/spreadsheetml/2006/main" count="4025" uniqueCount="2178">
  <si>
    <t xml:space="preserve">Playwright Gym — 300 VS Code practice questions</t>
  </si>
  <si>
    <t xml:space="preserve">One spec file per row. No Page Object classes on Gym. Fixtures + JSON / CSV / Excel readers ARE in scope. Target: Playwright Gym v2 at http://localhost:4173 (widget origin http://127.0.0.1:4174)</t>
  </si>
  <si>
    <t xml:space="preserve">How you work</t>
  </si>
  <si>
    <t xml:space="preserve">For each row create tests/gym/{easy|medium|tough}/{Spec file} with a single test() (or a small generated pack from a data file when the task says so). Use fixtures/gym.js instead of repeating goto. Do not modify the gym app — treat it as a black box.</t>
  </si>
  <si>
    <t xml:space="preserve">Gym facts</t>
  </si>
  <si>
    <t xml:space="preserve">App http://localhost:4173. Payment widget origin http://127.0.0.1:4174 (room 14). Calendar today pinned to 2026-08-03. server.js serves /api/* and the second port — python http.server is not enough. X-ray test IDs and Hide test IDs live in the sidebar. Activity log records clicks, consent, login, popups, routes. tour.spec.js now includes rooms 09–14. Read it, then write YOUR files.</t>
  </si>
  <si>
    <t xml:space="preserve">Locator default (interview order)</t>
  </si>
  <si>
    <t xml:space="preserve">getByRole → getByLabel → getByPlaceholder → getByText → getByTestId → css/xpath last. Gym gives data-testid so you can learn; many medium/tough rows ban a particular hook on purpose.</t>
  </si>
  <si>
    <t xml:space="preserve">Pass bar</t>
  </si>
  <si>
    <t xml:space="preserve">A row is Done only when npx playwright test &lt;that spec&gt; is green without waitForTimeout / page.waitForTimeout / hard sleep. Traces stay on-failure.</t>
  </si>
  <si>
    <t xml:space="preserve">Suggested order</t>
  </si>
  <si>
    <t xml:space="preserve">E-001…E-006 repo + fixtures. Home (Fifteen rooms, two Saves, hide-testid) then Controls/Files. Rooms 09–14 start in Easy so you touch overlays/lists/network/session/widgets/origins before Medium. Medium = route.fulfill before goto, storageState, clock, virtual scroll, portal combobox. Tough = strict Save collisions, windowed lists, clock bounds, cross-origin token + journeys.</t>
  </si>
  <si>
    <t xml:space="preserve">Commands</t>
  </si>
  <si>
    <t xml:space="preserve">cd playwright-gym &amp;&amp; node server.js 4173     (or let webServer start it)
npx playwright test tests/gym/easy/E-019.spec.js --headed
npx playwright test tests/gym/easy --project=chromium
npx playwright test tests/gym/tough/T-001.spec.js --trace on
npx playwright show-report
npx playwright show-trace test-results/.../trace.zip</t>
  </si>
  <si>
    <t xml:space="preserve">Repo layout to create</t>
  </si>
  <si>
    <t xml:space="preserve">gym-practice/
  playwright.config.js
  fixtures/gym.js, shots.js, downloads.js, testdata.js
  helpers/readJson.js, readCsv.js, readXlsx.js, constants.js, frames.js, shadow.js, cal.js, acc.js
  data/*.json, *.csv, *.xlsx   (you author these)
  tests/gym/easy/E-001.spec.js … E-100.spec.js
  tests/gym/medium/M-001.spec.js …
  tests/gym/tough/T-001.spec.js …</t>
  </si>
  <si>
    <t xml:space="preserve">Fixture / data column</t>
  </si>
  <si>
    <t xml:space="preserve">Build that helper or file if it does not exist yet, then use it in the spec. Reuse — do not copy-paste fs.readFile into every test. File-driven UI tests show up in both India and Germany SDET interviews.</t>
  </si>
  <si>
    <t xml:space="preserve">Status column</t>
  </si>
  <si>
    <t xml:space="preserve">Not started → In progress → Done / Stuck. Progress sheet formulas read column L. Green Done, amber In progress, red Stuck.</t>
  </si>
  <si>
    <t xml:space="preserve">Interview mapping</t>
  </si>
  <si>
    <t xml:space="preserve">Easy = drive v2 Gym including new rooms. Medium = production APIs (route, storageState, clock, portals). Tough = strict-mode name collisions, virtualisation, too-late routes, clock bounds, cross-origin. Business keys still win: SHP-4103, SHP-9800, INV-2201 — never nth.</t>
  </si>
  <si>
    <t xml:space="preserve">Do not</t>
  </si>
  <si>
    <t xml:space="preserve">Do not build a POM layer for Gym. Do not call the gym’s own tests from your suite. Do not scrape tour.spec.js into your files — rewrite. Do not use XPath unless a row asks you to compare it with getByRole.</t>
  </si>
  <si>
    <t xml:space="preserve">After Gym</t>
  </si>
  <si>
    <t xml:space="preserve">Kestrel-Bank (4001) and Heron-Health (4002) are next — those WILL use POM + storageState + API fixture. Hearthline is the lab course of traps. Finish at least 80 easy + 50 medium + 25 tough here before switching sites.</t>
  </si>
  <si>
    <t xml:space="preserve">Counts</t>
  </si>
  <si>
    <t xml:space="preserve">100 Easy + 100 Medium + 100 Tough = 300 specs. Progress sheet tracks Done % per level and per module.</t>
  </si>
  <si>
    <t xml:space="preserve">Colour legend</t>
  </si>
  <si>
    <t xml:space="preserve">Easy tab</t>
  </si>
  <si>
    <t xml:space="preserve">Medium tab</t>
  </si>
  <si>
    <t xml:space="preserve">Tough tab</t>
  </si>
  <si>
    <t xml:space="preserve">Done</t>
  </si>
  <si>
    <t xml:space="preserve">In progress</t>
  </si>
  <si>
    <t xml:space="preserve">Stuck</t>
  </si>
  <si>
    <t xml:space="preserve">ID</t>
  </si>
  <si>
    <t xml:space="preserve">Level</t>
  </si>
  <si>
    <t xml:space="preserve">Module</t>
  </si>
  <si>
    <t xml:space="preserve">Page</t>
  </si>
  <si>
    <t xml:space="preserve">Spec file</t>
  </si>
  <si>
    <t xml:space="preserve">Task — write this as one spec in VS Code</t>
  </si>
  <si>
    <t xml:space="preserve">Start from / hooks</t>
  </si>
  <si>
    <t xml:space="preserve">Hint (API, not a full solution)</t>
  </si>
  <si>
    <t xml:space="preserve">Pass when</t>
  </si>
  <si>
    <t xml:space="preserve">Skills</t>
  </si>
  <si>
    <t xml:space="preserve">Fixture / data</t>
  </si>
  <si>
    <t xml:space="preserve">Status</t>
  </si>
  <si>
    <t xml:space="preserve">My notes</t>
  </si>
  <si>
    <t xml:space="preserve">E-001</t>
  </si>
  <si>
    <t xml:space="preserve">Easy</t>
  </si>
  <si>
    <t xml:space="preserve">Setup</t>
  </si>
  <si>
    <t xml:space="preserve">repo root</t>
  </si>
  <si>
    <t xml:space="preserve">E-001.spec.js</t>
  </si>
  <si>
    <t xml:space="preserve">Create sibling gym-practice. Install @playwright/test. Config baseURL http://localhost:4173 and webServer `node ../playwright-gym/server.js 4173` (v2 also binds 4174).</t>
  </si>
  <si>
    <t xml:space="preserve">Do not edit gym</t>
  </si>
  <si>
    <t xml:space="preserve">defineConfig + webServer</t>
  </si>
  <si>
    <t xml:space="preserve">--list works</t>
  </si>
  <si>
    <t xml:space="preserve">config</t>
  </si>
  <si>
    <t xml:space="preserve">playwright.config.js</t>
  </si>
  <si>
    <t xml:space="preserve">Not started</t>
  </si>
  <si>
    <t xml:space="preserve">E-002</t>
  </si>
  <si>
    <t xml:space="preserve">E-002.spec.js</t>
  </si>
  <si>
    <t xml:space="preserve">Add fixtures/gym.js test.extend({ openGym }) that goto+returns page.</t>
  </si>
  <si>
    <t xml:space="preserve">reuse in later specs</t>
  </si>
  <si>
    <t xml:space="preserve">test.extend</t>
  </si>
  <si>
    <t xml:space="preserve">openGym('/pages/controls.html') works</t>
  </si>
  <si>
    <t xml:space="preserve">fixtures</t>
  </si>
  <si>
    <t xml:space="preserve">fixtures/gym.js</t>
  </si>
  <si>
    <t xml:space="preserve">E-003</t>
  </si>
  <si>
    <t xml:space="preserve">E-003.spec.js</t>
  </si>
  <si>
    <t xml:space="preserve">Add fixtures/shots.js: on failure write fullPage PNG via testInfo.</t>
  </si>
  <si>
    <t xml:space="preserve">practice attach</t>
  </si>
  <si>
    <t xml:space="preserve">testInfo.attach</t>
  </si>
  <si>
    <t xml:space="preserve">failed spec produces PNG</t>
  </si>
  <si>
    <t xml:space="preserve">screenshot fixture</t>
  </si>
  <si>
    <t xml:space="preserve">fixtures/shots.js</t>
  </si>
  <si>
    <t xml:space="preserve">E-004</t>
  </si>
  <si>
    <t xml:space="preserve">E-004.spec.js</t>
  </si>
  <si>
    <t xml:space="preserve">Implement readJson, readCsv, readXlsx helpers and prove each on a tiny data/ file.</t>
  </si>
  <si>
    <t xml:space="preserve">you author data/</t>
  </si>
  <si>
    <t xml:space="preserve">fs + exceljs</t>
  </si>
  <si>
    <t xml:space="preserve">three reads succeed</t>
  </si>
  <si>
    <t xml:space="preserve">file readers</t>
  </si>
  <si>
    <t xml:space="preserve">helpers/*</t>
  </si>
  <si>
    <t xml:space="preserve">E-005</t>
  </si>
  <si>
    <t xml:space="preserve">E-005.spec.js</t>
  </si>
  <si>
    <t xml:space="preserve">constants.js exports BASE, GYM_TODAY=2026-08-03, ORIGIN_WIDGET=http://127.0.0.1:4174, MODULES with all 15 page paths.</t>
  </si>
  <si>
    <t xml:space="preserve">v2 has 15 rooms</t>
  </si>
  <si>
    <t xml:space="preserve">named exports</t>
  </si>
  <si>
    <t xml:space="preserve">MODULES.length === 15</t>
  </si>
  <si>
    <t xml:space="preserve">constants</t>
  </si>
  <si>
    <t xml:space="preserve">helpers/constants.js</t>
  </si>
  <si>
    <t xml:space="preserve">E-006</t>
  </si>
  <si>
    <t xml:space="preserve">E-006.spec.js</t>
  </si>
  <si>
    <t xml:space="preserve">Add npm scripts test:easy test:medium test:tough.</t>
  </si>
  <si>
    <t xml:space="preserve">daily driver</t>
  </si>
  <si>
    <t xml:space="preserve">package.json</t>
  </si>
  <si>
    <t xml:space="preserve">test:easy --list shows E- files</t>
  </si>
  <si>
    <t xml:space="preserve">scripts</t>
  </si>
  <si>
    <t xml:space="preserve">E-007</t>
  </si>
  <si>
    <t xml:space="preserve">Home</t>
  </si>
  <si>
    <t xml:space="preserve">/index.html</t>
  </si>
  <si>
    <t xml:space="preserve">E-007.spec.js</t>
  </si>
  <si>
    <t xml:space="preserve">Assert h1 contains Fifteen rooms (v2 copy, not Nine).</t>
  </si>
  <si>
    <t xml:space="preserve">home</t>
  </si>
  <si>
    <t xml:space="preserve">getByRole heading level 1</t>
  </si>
  <si>
    <t xml:space="preserve">phrase present</t>
  </si>
  <si>
    <t xml:space="preserve">goto</t>
  </si>
  <si>
    <t xml:space="preserve">-</t>
  </si>
  <si>
    <t xml:space="preserve">E-008</t>
  </si>
  <si>
    <t xml:space="preserve">E-008.spec.js</t>
  </si>
  <si>
    <t xml:space="preserve">Assert 14 bench cards bench-controls through bench-origins.</t>
  </si>
  <si>
    <t xml:space="preserve">testid prefix bench-</t>
  </si>
  <si>
    <t xml:space="preserve">toHaveCount(14)</t>
  </si>
  <si>
    <t xml:space="preserve">14 cards</t>
  </si>
  <si>
    <t xml:space="preserve">count</t>
  </si>
  <si>
    <t xml:space="preserve">E-009</t>
  </si>
  <si>
    <t xml:space="preserve">E-009.spec.js</t>
  </si>
  <si>
    <t xml:space="preserve">Click bench-overlays, land on overlays.html, nav-00 back home.</t>
  </si>
  <si>
    <t xml:space="preserve">new room</t>
  </si>
  <si>
    <t xml:space="preserve">getByTestId</t>
  </si>
  <si>
    <t xml:space="preserve">round trip</t>
  </si>
  <si>
    <t xml:space="preserve">nav</t>
  </si>
  <si>
    <t xml:space="preserve">E-010</t>
  </si>
  <si>
    <t xml:space="preserve">E-010.spec.js</t>
  </si>
  <si>
    <t xml:space="preserve">Click #warmup Ready buttons 3 then 1 then 2. Assert #warm-out contains correct.</t>
  </si>
  <si>
    <t xml:space="preserve">no testids</t>
  </si>
  <si>
    <t xml:space="preserve">nth()</t>
  </si>
  <si>
    <t xml:space="preserve">sequence correct</t>
  </si>
  <si>
    <t xml:space="preserve">nth</t>
  </si>
  <si>
    <t xml:space="preserve">E-011</t>
  </si>
  <si>
    <t xml:space="preserve">E-011.spec.js</t>
  </si>
  <si>
    <t xml:space="preserve">Click Save inside #warmup-header not #warmup-lane. Assert #warm-save-out is header save.</t>
  </si>
  <si>
    <t xml:space="preserve">v2 two Saves</t>
  </si>
  <si>
    <t xml:space="preserve">region.getByRole</t>
  </si>
  <si>
    <t xml:space="preserve">header save</t>
  </si>
  <si>
    <t xml:space="preserve">scope</t>
  </si>
  <si>
    <t xml:space="preserve">E-012</t>
  </si>
  <si>
    <t xml:space="preserve">E-012.spec.js</t>
  </si>
  <si>
    <t xml:space="preserve">Toggle X-ray on then off via xray-toggle.</t>
  </si>
  <si>
    <t xml:space="preserve">sidebar</t>
  </si>
  <si>
    <t xml:space="preserve">getByTestId('xray-toggle')</t>
  </si>
  <si>
    <t xml:space="preserve">class/log flips</t>
  </si>
  <si>
    <t xml:space="preserve">toggle</t>
  </si>
  <si>
    <t xml:space="preserve">E-013</t>
  </si>
  <si>
    <t xml:space="preserve">E-013.spec.js</t>
  </si>
  <si>
    <t xml:space="preserve">Toggle Hide test IDs on. Assert bench-controls count is 0. Toggle off. Assert it returns.</t>
  </si>
  <si>
    <t xml:space="preserve">v2 hide-testid-toggle</t>
  </si>
  <si>
    <t xml:space="preserve">getByTestId('hide-testid-toggle')</t>
  </si>
  <si>
    <t xml:space="preserve">restored</t>
  </si>
  <si>
    <t xml:space="preserve">hide testids</t>
  </si>
  <si>
    <t xml:space="preserve">E-014</t>
  </si>
  <si>
    <t xml:space="preserve">E-014.spec.js</t>
  </si>
  <si>
    <t xml:space="preserve">Full-page screenshot of home after 09-14 cards render.</t>
  </si>
  <si>
    <t xml:space="preserve">shots fixture</t>
  </si>
  <si>
    <t xml:space="preserve">page.screenshot fullPage</t>
  </si>
  <si>
    <t xml:space="preserve">file non-empty</t>
  </si>
  <si>
    <t xml:space="preserve">screenshot</t>
  </si>
  <si>
    <t xml:space="preserve">E-015</t>
  </si>
  <si>
    <t xml:space="preserve">Controls</t>
  </si>
  <si>
    <t xml:space="preserve">/pages/controls.html</t>
  </si>
  <si>
    <t xml:space="preserve">E-015.spec.js</t>
  </si>
  <si>
    <t xml:space="preserve">Fill name+email from data/controls-user.json, check terms, country in, city pune, btn-read-text. Assert text-out.</t>
  </si>
  <si>
    <t xml:space="preserve">async city</t>
  </si>
  <si>
    <t xml:space="preserve">toBeEnabled select-city</t>
  </si>
  <si>
    <t xml:space="preserve">name in out</t>
  </si>
  <si>
    <t xml:space="preserve">fill select</t>
  </si>
  <si>
    <t xml:space="preserve">data/controls-user.json</t>
  </si>
  <si>
    <t xml:space="preserve">E-016</t>
  </si>
  <si>
    <t xml:space="preserve">E-016.spec.js</t>
  </si>
  <si>
    <t xml:space="preserve">Check only cb-emea. Parent not checked but indeterminate true via evaluate.</t>
  </si>
  <si>
    <t xml:space="preserve">property not attr</t>
  </si>
  <si>
    <t xml:space="preserve">el.indeterminate</t>
  </si>
  <si>
    <t xml:space="preserve">true</t>
  </si>
  <si>
    <t xml:space="preserve">evaluate</t>
  </si>
  <si>
    <t xml:space="preserve">E-017</t>
  </si>
  <si>
    <t xml:space="preserve">E-017.spec.js</t>
  </si>
  <si>
    <t xml:space="preserve">Open dropdown-trigger, pick Lyon by role option. Assert dropdown-out /lyon/i.</t>
  </si>
  <si>
    <t xml:space="preserve">not a select</t>
  </si>
  <si>
    <t xml:space="preserve">getByRole option</t>
  </si>
  <si>
    <t xml:space="preserve">lyon</t>
  </si>
  <si>
    <t xml:space="preserve">listbox</t>
  </si>
  <si>
    <t xml:space="preserve">E-018</t>
  </si>
  <si>
    <t xml:space="preserve">E-018.spec.js</t>
  </si>
  <si>
    <t xml:space="preserve">btn-confirm accept. Assert dialog-out confirm → true.</t>
  </si>
  <si>
    <t xml:space="preserve">once dialog</t>
  </si>
  <si>
    <t xml:space="preserve">dialog.accept</t>
  </si>
  <si>
    <t xml:space="preserve">exact text</t>
  </si>
  <si>
    <t xml:space="preserve">dialog</t>
  </si>
  <si>
    <t xml:space="preserve">E-019</t>
  </si>
  <si>
    <t xml:space="preserve">E-019.spec.js</t>
  </si>
  <si>
    <t xml:space="preserve">Empty rf-submit → 5 form-error. Fill valid, submit. form-receipt visible and reg-form count 0.</t>
  </si>
  <si>
    <t xml:space="preserve">form self-removes</t>
  </si>
  <si>
    <t xml:space="preserve">toHaveCount(0)</t>
  </si>
  <si>
    <t xml:space="preserve">receipt</t>
  </si>
  <si>
    <t xml:space="preserve">validation</t>
  </si>
  <si>
    <t xml:space="preserve">E-020</t>
  </si>
  <si>
    <t xml:space="preserve">E-020.spec.js</t>
  </si>
  <si>
    <t xml:space="preserve">btn-delayed disabled then click when enabled. No waitForTimeout.</t>
  </si>
  <si>
    <t xml:space="preserve">4s enable</t>
  </si>
  <si>
    <t xml:space="preserve">toBeEnabled</t>
  </si>
  <si>
    <t xml:space="preserve">clicked</t>
  </si>
  <si>
    <t xml:space="preserve">auto-wait</t>
  </si>
  <si>
    <t xml:space="preserve">E-021</t>
  </si>
  <si>
    <t xml:space="preserve">E-021.spec.js</t>
  </si>
  <si>
    <t xml:space="preserve">Click aria-disabled-btn. Assert aria-disabled-out blocked by aria-disabled. No force.</t>
  </si>
  <si>
    <t xml:space="preserve">v2 control</t>
  </si>
  <si>
    <t xml:space="preserve">blocked message</t>
  </si>
  <si>
    <t xml:space="preserve">aria-disabled</t>
  </si>
  <si>
    <t xml:space="preserve">E-022</t>
  </si>
  <si>
    <t xml:space="preserve">E-022.spec.js</t>
  </si>
  <si>
    <t xml:space="preserve">Fill notes, btn-clear-text, name and notes empty.</t>
  </si>
  <si>
    <t xml:space="preserve">clear</t>
  </si>
  <si>
    <t xml:space="preserve">toHaveValue</t>
  </si>
  <si>
    <t xml:space="preserve">empty</t>
  </si>
  <si>
    <t xml:space="preserve">E-023</t>
  </si>
  <si>
    <t xml:space="preserve">E-023.spec.js</t>
  </si>
  <si>
    <t xml:space="preserve">Hover btn-hover, hover-panel visible.</t>
  </si>
  <si>
    <t xml:space="preserve">hover-panel</t>
  </si>
  <si>
    <t xml:space="preserve">hover</t>
  </si>
  <si>
    <t xml:space="preserve">visible</t>
  </si>
  <si>
    <t xml:space="preserve">E-024</t>
  </si>
  <si>
    <t xml:space="preserve">E-024.spec.js</t>
  </si>
  <si>
    <t xml:space="preserve">Move range-budget and assert range-value changed.</t>
  </si>
  <si>
    <t xml:space="preserve">range</t>
  </si>
  <si>
    <t xml:space="preserve">fill</t>
  </si>
  <si>
    <t xml:space="preserve">changed</t>
  </si>
  <si>
    <t xml:space="preserve">E-025</t>
  </si>
  <si>
    <t xml:space="preserve">E-025.spec.js</t>
  </si>
  <si>
    <t xml:space="preserve">Fill input-password and input-tel with any values and assert they hold them.</t>
  </si>
  <si>
    <t xml:space="preserve">basics</t>
  </si>
  <si>
    <t xml:space="preserve">values stick</t>
  </si>
  <si>
    <t xml:space="preserve">E-026</t>
  </si>
  <si>
    <t xml:space="preserve">Tables</t>
  </si>
  <si>
    <t xml:space="preserve">/pages/tables.html</t>
  </si>
  <si>
    <t xml:space="preserve">E-026.spec.js</t>
  </si>
  <si>
    <t xml:space="preserve">Filter Busan. Every visible ship-row contains Busan.</t>
  </si>
  <si>
    <t xml:space="preserve">ship-row</t>
  </si>
  <si>
    <t xml:space="preserve">all()</t>
  </si>
  <si>
    <t xml:space="preserve">no stray row</t>
  </si>
  <si>
    <t xml:space="preserve">filter</t>
  </si>
  <si>
    <t xml:space="preserve">E-027</t>
  </si>
  <si>
    <t xml:space="preserve">E-027.spec.js</t>
  </si>
  <si>
    <t xml:space="preserve">Sort th-weight ascending and assert numeric order.</t>
  </si>
  <si>
    <t xml:space="preserve">col 5</t>
  </si>
  <si>
    <t xml:space="preserve">aria-sort</t>
  </si>
  <si>
    <t xml:space="preserve">sorted</t>
  </si>
  <si>
    <t xml:space="preserve">sort</t>
  </si>
  <si>
    <t xml:space="preserve">E-028</t>
  </si>
  <si>
    <t xml:space="preserve">E-028.spec.js</t>
  </si>
  <si>
    <t xml:space="preserve">Hold SHP-4103 by data-ship, not nth.</t>
  </si>
  <si>
    <t xml:space="preserve">business key</t>
  </si>
  <si>
    <t xml:space="preserve">getByRole Hold</t>
  </si>
  <si>
    <t xml:space="preserve">row updated</t>
  </si>
  <si>
    <t xml:space="preserve">key</t>
  </si>
  <si>
    <t xml:space="preserve">E-029</t>
  </si>
  <si>
    <t xml:space="preserve">E-029.spec.js</t>
  </si>
  <si>
    <t xml:space="preserve">Page size 5 → ship-row count 5.</t>
  </si>
  <si>
    <t xml:space="preserve">pager</t>
  </si>
  <si>
    <t xml:space="preserve">selectOption</t>
  </si>
  <si>
    <t xml:space="preserve">5</t>
  </si>
  <si>
    <t xml:space="preserve">pagination</t>
  </si>
  <si>
    <t xml:space="preserve">E-030</t>
  </si>
  <si>
    <t xml:space="preserve">E-030.spec.js</t>
  </si>
  <si>
    <t xml:space="preserve">load-more three times → 20 lazy-row.</t>
  </si>
  <si>
    <t xml:space="preserve">lazy-table</t>
  </si>
  <si>
    <t xml:space="preserve">toHaveCount(20)</t>
  </si>
  <si>
    <t xml:space="preserve">20</t>
  </si>
  <si>
    <t xml:space="preserve">append</t>
  </si>
  <si>
    <t xml:space="preserve">E-031</t>
  </si>
  <si>
    <t xml:space="preserve">E-031.spec.js</t>
  </si>
  <si>
    <t xml:space="preserve">Screenshot shipments-table element.</t>
  </si>
  <si>
    <t xml:space="preserve">locator.screenshot</t>
  </si>
  <si>
    <t xml:space="preserve">element</t>
  </si>
  <si>
    <t xml:space="preserve">PNG</t>
  </si>
  <si>
    <t xml:space="preserve">shot</t>
  </si>
  <si>
    <t xml:space="preserve">E-032</t>
  </si>
  <si>
    <t xml:space="preserve">E-032.spec.js</t>
  </si>
  <si>
    <t xml:space="preserve">Follow the v2 lede/link to lists.html and assert virt-viewport exists.</t>
  </si>
  <si>
    <t xml:space="preserve">module 10 pointer</t>
  </si>
  <si>
    <t xml:space="preserve">nav-10</t>
  </si>
  <si>
    <t xml:space="preserve">viewport visible</t>
  </si>
  <si>
    <t xml:space="preserve">E-033</t>
  </si>
  <si>
    <t xml:space="preserve">Accordions</t>
  </si>
  <si>
    <t xml:space="preserve">/pages/accordions.html</t>
  </si>
  <si>
    <t xml:space="preserve">E-033.spec.js</t>
  </si>
  <si>
    <t xml:space="preserve">Open three native nested details, fill deep-native-input, submit, assert out.</t>
  </si>
  <si>
    <t xml:space="preserve">details</t>
  </si>
  <si>
    <t xml:space="preserve">summary</t>
  </si>
  <si>
    <t xml:space="preserve">echo</t>
  </si>
  <si>
    <t xml:space="preserve">E-034</t>
  </si>
  <si>
    <t xml:space="preserve">E-034.spec.js</t>
  </si>
  <si>
    <t xml:space="preserve">hidden-panel-0 hidden; destroy-panel-0 count 0; open both heads; both visible.</t>
  </si>
  <si>
    <t xml:space="preserve">hide vs destroy</t>
  </si>
  <si>
    <t xml:space="preserve">toBeHidden vs count 0</t>
  </si>
  <si>
    <t xml:space="preserve">both visible</t>
  </si>
  <si>
    <t xml:space="preserve">visibility</t>
  </si>
  <si>
    <t xml:space="preserve">E-035</t>
  </si>
  <si>
    <t xml:space="preserve">E-035.spec.js</t>
  </si>
  <si>
    <t xml:space="preserve">Open ex-head-0 then ex-head-2. Only one aria-expanded=true in group.</t>
  </si>
  <si>
    <t xml:space="preserve">320ms</t>
  </si>
  <si>
    <t xml:space="preserve">toHaveAttribute</t>
  </si>
  <si>
    <t xml:space="preserve">count 1</t>
  </si>
  <si>
    <t xml:space="preserve">exclusive</t>
  </si>
  <si>
    <t xml:space="preserve">E-036</t>
  </si>
  <si>
    <t xml:space="preserve">E-036.spec.js</t>
  </si>
  <si>
    <t xml:space="preserve">Open lazy-head-0. lazy-content-0 visible and contains artifact. No sleep.</t>
  </si>
  <si>
    <t xml:space="preserve">1.1s</t>
  </si>
  <si>
    <t xml:space="preserve">toBeVisible</t>
  </si>
  <si>
    <t xml:space="preserve">artifact</t>
  </si>
  <si>
    <t xml:space="preserve">lazy</t>
  </si>
  <si>
    <t xml:space="preserve">E-037</t>
  </si>
  <si>
    <t xml:space="preserve">E-037.spec.js</t>
  </si>
  <si>
    <t xml:space="preserve">Open Rotate the signing key by getByRole name (split header).</t>
  </si>
  <si>
    <t xml:space="preserve">split text</t>
  </si>
  <si>
    <t xml:space="preserve">name regex</t>
  </si>
  <si>
    <t xml:space="preserve">panel open</t>
  </si>
  <si>
    <t xml:space="preserve">name</t>
  </si>
  <si>
    <t xml:space="preserve">E-038</t>
  </si>
  <si>
    <t xml:space="preserve">Calendars</t>
  </si>
  <si>
    <t xml:space="preserve">/pages/calendars.html</t>
  </si>
  <si>
    <t xml:space="preserve">E-038.spec.js</t>
  </si>
  <si>
    <t xml:space="preserve">Fill native-date 2026-11-19 and read. native-out contains that date.</t>
  </si>
  <si>
    <t xml:space="preserve">pinned today</t>
  </si>
  <si>
    <t xml:space="preserve">fill ISO</t>
  </si>
  <si>
    <t xml:space="preserve">out</t>
  </si>
  <si>
    <t xml:space="preserve">native date</t>
  </si>
  <si>
    <t xml:space="preserve">E-039</t>
  </si>
  <si>
    <t xml:space="preserve">E-039.spec.js</t>
  </si>
  <si>
    <t xml:space="preserve">Popup: next month, pick 2026-09-15. popup-input has that value.</t>
  </si>
  <si>
    <t xml:space="preserve">popup-calendar</t>
  </si>
  <si>
    <t xml:space="preserve">data-date</t>
  </si>
  <si>
    <t xml:space="preserve">value</t>
  </si>
  <si>
    <t xml:space="preserve">popup</t>
  </si>
  <si>
    <t xml:space="preserve">E-040</t>
  </si>
  <si>
    <t xml:space="preserve">E-040.spec.js</t>
  </si>
  <si>
    <t xml:space="preserve">blocked-calendar: 2026-08-15 disabled; pick 2026-08-12; blocked-out has it.</t>
  </si>
  <si>
    <t xml:space="preserve">holiday</t>
  </si>
  <si>
    <t xml:space="preserve">toBeDisabled</t>
  </si>
  <si>
    <t xml:space="preserve">disabled dates</t>
  </si>
  <si>
    <t xml:space="preserve">E-041</t>
  </si>
  <si>
    <t xml:space="preserve">E-041.spec.js</t>
  </si>
  <si>
    <t xml:space="preserve">In #cal-frame pick 2026-08-20, send, parent frame-cal-out has date.</t>
  </si>
  <si>
    <t xml:space="preserve">frameLocator</t>
  </si>
  <si>
    <t xml:space="preserve">#cal-frame</t>
  </si>
  <si>
    <t xml:space="preserve">parent out</t>
  </si>
  <si>
    <t xml:space="preserve">frame cal</t>
  </si>
  <si>
    <t xml:space="preserve">E-042</t>
  </si>
  <si>
    <t xml:space="preserve">E-042.spec.js</t>
  </si>
  <si>
    <t xml:space="preserve">Open popup and assert a data-today cell exists matching GYM_TODAY.</t>
  </si>
  <si>
    <t xml:space="preserve">data-today</t>
  </si>
  <si>
    <t xml:space="preserve">present</t>
  </si>
  <si>
    <t xml:space="preserve">E-043</t>
  </si>
  <si>
    <t xml:space="preserve">Files</t>
  </si>
  <si>
    <t xml:space="preserve">/pages/files.html</t>
  </si>
  <si>
    <t xml:space="preserve">E-043.spec.js</t>
  </si>
  <si>
    <t xml:space="preserve">Upload runbook.txt via upload-single. A file row appears.</t>
  </si>
  <si>
    <t xml:space="preserve">path</t>
  </si>
  <si>
    <t xml:space="preserve">setInputFiles</t>
  </si>
  <si>
    <t xml:space="preserve">count&gt;=1</t>
  </si>
  <si>
    <t xml:space="preserve">upload</t>
  </si>
  <si>
    <t xml:space="preserve">E-044</t>
  </si>
  <si>
    <t xml:space="preserve">E-044.spec.js</t>
  </si>
  <si>
    <t xml:space="preserve">Upload in-memory inline.txt buffer via upload-single.</t>
  </si>
  <si>
    <t xml:space="preserve">no disk</t>
  </si>
  <si>
    <t xml:space="preserve">Buffer.from</t>
  </si>
  <si>
    <t xml:space="preserve">name listed</t>
  </si>
  <si>
    <t xml:space="preserve">memory upload</t>
  </si>
  <si>
    <t xml:space="preserve">E-045</t>
  </si>
  <si>
    <t xml:space="preserve">E-045.spec.js</t>
  </si>
  <si>
    <t xml:space="preserve">Two files on upload-multiple.</t>
  </si>
  <si>
    <t xml:space="preserve">array</t>
  </si>
  <si>
    <t xml:space="preserve">count 2</t>
  </si>
  <si>
    <t xml:space="preserve">multi</t>
  </si>
  <si>
    <t xml:space="preserve">E-046</t>
  </si>
  <si>
    <t xml:space="preserve">E-046.spec.js</t>
  </si>
  <si>
    <t xml:space="preserve">txt into upload-csv → plain-out not a CSV.</t>
  </si>
  <si>
    <t xml:space="preserve">type check</t>
  </si>
  <si>
    <t xml:space="preserve">rejected</t>
  </si>
  <si>
    <t xml:space="preserve">accept</t>
  </si>
  <si>
    <t xml:space="preserve">E-047</t>
  </si>
  <si>
    <t xml:space="preserve">E-047.spec.js</t>
  </si>
  <si>
    <t xml:space="preserve">download-csv waitForEvent download. Filename shipments.csv.</t>
  </si>
  <si>
    <t xml:space="preserve">Promise.all</t>
  </si>
  <si>
    <t xml:space="preserve">suggestedFilename</t>
  </si>
  <si>
    <t xml:space="preserve">exact</t>
  </si>
  <si>
    <t xml:space="preserve">download</t>
  </si>
  <si>
    <t xml:space="preserve">fixtures/downloads.js</t>
  </si>
  <si>
    <t xml:space="preserve">E-048</t>
  </si>
  <si>
    <t xml:space="preserve">E-048.spec.js</t>
  </si>
  <si>
    <t xml:space="preserve">saveAs that csv and readCsv. SHP-4100 present.</t>
  </si>
  <si>
    <t xml:space="preserve">readCsv</t>
  </si>
  <si>
    <t xml:space="preserve">row exists</t>
  </si>
  <si>
    <t xml:space="preserve">CSV reader</t>
  </si>
  <si>
    <t xml:space="preserve">helpers/readCsv.js</t>
  </si>
  <si>
    <t xml:space="preserve">E-049</t>
  </si>
  <si>
    <t xml:space="preserve">E-049.spec.js</t>
  </si>
  <si>
    <t xml:space="preserve">Drop payload.exe on dropzone. drop-out contains rejected.</t>
  </si>
  <si>
    <t xml:space="preserve">v2 trap</t>
  </si>
  <si>
    <t xml:space="preserve">DataTransfer drop</t>
  </si>
  <si>
    <t xml:space="preserve">drop reject</t>
  </si>
  <si>
    <t xml:space="preserve">E-050</t>
  </si>
  <si>
    <t xml:space="preserve">Frames</t>
  </si>
  <si>
    <t xml:space="preserve">/pages/frames.html</t>
  </si>
  <si>
    <t xml:space="preserve">E-050.spec.js</t>
  </si>
  <si>
    <t xml:space="preserve">Fill decoy deep-input in #depth-1. deep-relay stays empty.</t>
  </si>
  <si>
    <t xml:space="preserve">same testid</t>
  </si>
  <si>
    <t xml:space="preserve">frameLocator depth-1</t>
  </si>
  <si>
    <t xml:space="preserve">empty relay</t>
  </si>
  <si>
    <t xml:space="preserve">decoy</t>
  </si>
  <si>
    <t xml:space="preserve">E-051</t>
  </si>
  <si>
    <t xml:space="preserve">E-051.spec.js</t>
  </si>
  <si>
    <t xml:space="preserve">Four-level chain, fill real deep-input, click deep-confirm, relay has value.</t>
  </si>
  <si>
    <t xml:space="preserve">title Depth 3</t>
  </si>
  <si>
    <t xml:space="preserve">frameLocator chain</t>
  </si>
  <si>
    <t xml:space="preserve">relay</t>
  </si>
  <si>
    <t xml:space="preserve">deep frame</t>
  </si>
  <si>
    <t xml:space="preserve">E-052</t>
  </si>
  <si>
    <t xml:space="preserve">E-052.spec.js</t>
  </si>
  <si>
    <t xml:space="preserve">srcdoc-frame button increments srcdoc-count to 2.</t>
  </si>
  <si>
    <t xml:space="preserve">#srcdoc-frame</t>
  </si>
  <si>
    <t xml:space="preserve">2</t>
  </si>
  <si>
    <t xml:space="preserve">srcdoc</t>
  </si>
  <si>
    <t xml:space="preserve">E-053</t>
  </si>
  <si>
    <t xml:space="preserve">DOM</t>
  </si>
  <si>
    <t xml:space="preserve">/pages/dom.html</t>
  </si>
  <si>
    <t xml:space="preserve">E-053.spec.js</t>
  </si>
  <si>
    <t xml:space="preserve">Click data-role=primary, reload, id changed, click again. unstable-out has primary.</t>
  </si>
  <si>
    <t xml:space="preserve">no generated id</t>
  </si>
  <si>
    <t xml:space="preserve">data-role</t>
  </si>
  <si>
    <t xml:space="preserve">ids differ</t>
  </si>
  <si>
    <t xml:space="preserve">unstable id</t>
  </si>
  <si>
    <t xml:space="preserve">E-054</t>
  </si>
  <si>
    <t xml:space="preserve">E-054.spec.js</t>
  </si>
  <si>
    <t xml:space="preserve">#save count 3. Click data-which=footer. dupe-out footer.</t>
  </si>
  <si>
    <t xml:space="preserve">strict mode</t>
  </si>
  <si>
    <t xml:space="preserve">toHaveCount(3)</t>
  </si>
  <si>
    <t xml:space="preserve">footer</t>
  </si>
  <si>
    <t xml:space="preserve">dup id</t>
  </si>
  <si>
    <t xml:space="preserve">E-055</t>
  </si>
  <si>
    <t xml:space="preserve">E-055.spec.js</t>
  </si>
  <si>
    <t xml:space="preserve">make-inert then inert-target. inert-dom-out is region inert (target not clicked).</t>
  </si>
  <si>
    <t xml:space="preserve">v2</t>
  </si>
  <si>
    <t xml:space="preserve">inert</t>
  </si>
  <si>
    <t xml:space="preserve">E-056</t>
  </si>
  <si>
    <t xml:space="preserve">E-056.spec.js</t>
  </si>
  <si>
    <t xml:space="preserve">Wait for late-testid (300ms inject) and click. hydrate-out hydrated click. No sleep.</t>
  </si>
  <si>
    <t xml:space="preserve">hydrate-btn</t>
  </si>
  <si>
    <t xml:space="preserve">getByTestId late-testid</t>
  </si>
  <si>
    <t xml:space="preserve">hydrated click</t>
  </si>
  <si>
    <t xml:space="preserve">late testid</t>
  </si>
  <si>
    <t xml:space="preserve">E-057</t>
  </si>
  <si>
    <t xml:space="preserve">Shadow</t>
  </si>
  <si>
    <t xml:space="preserve">/pages/shadow.html</t>
  </si>
  <si>
    <t xml:space="preserve">E-057.spec.js</t>
  </si>
  <si>
    <t xml:space="preserve">shadow-input count 3. Fill only gym-panel[code=FR-W3]. panel-relay mentions FR-W3.</t>
  </si>
  <si>
    <t xml:space="preserve">shared testids</t>
  </si>
  <si>
    <t xml:space="preserve">host then testid</t>
  </si>
  <si>
    <t xml:space="preserve">scoped</t>
  </si>
  <si>
    <t xml:space="preserve">open shadow</t>
  </si>
  <si>
    <t xml:space="preserve">E-058</t>
  </si>
  <si>
    <t xml:space="preserve">E-058.spec.js</t>
  </si>
  <si>
    <t xml:space="preserve">deep-shadow-input submit. nest-out set. evaluate querySelectorAll that testid is 0.</t>
  </si>
  <si>
    <t xml:space="preserve">3 boundaries</t>
  </si>
  <si>
    <t xml:space="preserve">UI worked, DOM query 0</t>
  </si>
  <si>
    <t xml:space="preserve">nested shadow</t>
  </si>
  <si>
    <t xml:space="preserve">E-059</t>
  </si>
  <si>
    <t xml:space="preserve">E-059.spec.js</t>
  </si>
  <si>
    <t xml:space="preserve">sealed-input count 0. setCode/getCode on gym-sealed via evaluate.</t>
  </si>
  <si>
    <t xml:space="preserve">closed root</t>
  </si>
  <si>
    <t xml:space="preserve">evaluate API</t>
  </si>
  <si>
    <t xml:space="preserve">closed shadow</t>
  </si>
  <si>
    <t xml:space="preserve">E-060</t>
  </si>
  <si>
    <t xml:space="preserve">Overlays</t>
  </si>
  <si>
    <t xml:space="preserve">/pages/overlays.html</t>
  </si>
  <si>
    <t xml:space="preserve">E-060.spec.js</t>
  </si>
  <si>
    <t xml:space="preserve">Accept cookie-banner. Banner hidden. localStorage gym.consent is 1.</t>
  </si>
  <si>
    <t xml:space="preserve">consent dialog</t>
  </si>
  <si>
    <t xml:space="preserve">cookie-accept</t>
  </si>
  <si>
    <t xml:space="preserve">hidden</t>
  </si>
  <si>
    <t xml:space="preserve">consent</t>
  </si>
  <si>
    <t xml:space="preserve">E-061</t>
  </si>
  <si>
    <t xml:space="preserve">E-061.spec.js</t>
  </si>
  <si>
    <t xml:space="preserve">Accept cookies, click page-save not chrome-save. save-out saved from page.</t>
  </si>
  <si>
    <t xml:space="preserve">two Saves</t>
  </si>
  <si>
    <t xml:space="preserve">page-save</t>
  </si>
  <si>
    <t xml:space="preserve">name collision</t>
  </si>
  <si>
    <t xml:space="preserve">E-062</t>
  </si>
  <si>
    <t xml:space="preserve">E-062.spec.js</t>
  </si>
  <si>
    <t xml:space="preserve">Click chrome-save. save-out saved from chrome.</t>
  </si>
  <si>
    <t xml:space="preserve">sticky</t>
  </si>
  <si>
    <t xml:space="preserve">chrome-save</t>
  </si>
  <si>
    <t xml:space="preserve">E-063</t>
  </si>
  <si>
    <t xml:space="preserve">E-063.spec.js</t>
  </si>
  <si>
    <t xml:space="preserve">open-dialog. getByRole dialog name Edit invoice visible.</t>
  </si>
  <si>
    <t xml:space="preserve">portal</t>
  </si>
  <si>
    <t xml:space="preserve">getByRole dialog</t>
  </si>
  <si>
    <t xml:space="preserve">E-064</t>
  </si>
  <si>
    <t xml:space="preserve">E-064.spec.js</t>
  </si>
  <si>
    <t xml:space="preserve">Dialog Save scoped to dialog. dialog-out contains saved.</t>
  </si>
  <si>
    <t xml:space="preserve">third Save</t>
  </si>
  <si>
    <t xml:space="preserve">dialog.getByRole Save</t>
  </si>
  <si>
    <t xml:space="preserve">saved</t>
  </si>
  <si>
    <t xml:space="preserve">E-065</t>
  </si>
  <si>
    <t xml:space="preserve">E-065.spec.js</t>
  </si>
  <si>
    <t xml:space="preserve">Open dialog, press Escape. dialog-out dialog → escape.</t>
  </si>
  <si>
    <t xml:space="preserve">Esc</t>
  </si>
  <si>
    <t xml:space="preserve">keyboard.press</t>
  </si>
  <si>
    <t xml:space="preserve">E-066</t>
  </si>
  <si>
    <t xml:space="preserve">E-066.spec.js</t>
  </si>
  <si>
    <t xml:space="preserve">toast-ok. toast-item role=status appears. toast-out last=ok.</t>
  </si>
  <si>
    <t xml:space="preserve">stack</t>
  </si>
  <si>
    <t xml:space="preserve">toast-item</t>
  </si>
  <si>
    <t xml:space="preserve">ok</t>
  </si>
  <si>
    <t xml:space="preserve">toast</t>
  </si>
  <si>
    <t xml:space="preserve">E-067</t>
  </si>
  <si>
    <t xml:space="preserve">E-067.spec.js</t>
  </si>
  <si>
    <t xml:space="preserve">Screenshot sticky-chrome element only.</t>
  </si>
  <si>
    <t xml:space="preserve">E-068</t>
  </si>
  <si>
    <t xml:space="preserve">Lists</t>
  </si>
  <si>
    <t xml:space="preserve">/pages/lists.html</t>
  </si>
  <si>
    <t xml:space="preserve">E-068.spec.js</t>
  </si>
  <si>
    <t xml:space="preserve">virt-row count &gt; 0 and &lt; 10000.</t>
  </si>
  <si>
    <t xml:space="preserve">window only</t>
  </si>
  <si>
    <t xml:space="preserve">toHaveCount</t>
  </si>
  <si>
    <t xml:space="preserve">small window</t>
  </si>
  <si>
    <t xml:space="preserve">virtual list</t>
  </si>
  <si>
    <t xml:space="preserve">E-069</t>
  </si>
  <si>
    <t xml:space="preserve">E-069.spec.js</t>
  </si>
  <si>
    <t xml:space="preserve">[data-ref=SHP-9800] count 0 before any scroll.</t>
  </si>
  <si>
    <t xml:space="preserve">not mounted</t>
  </si>
  <si>
    <t xml:space="preserve">absent</t>
  </si>
  <si>
    <t xml:space="preserve">virtualisation</t>
  </si>
  <si>
    <t xml:space="preserve">E-070</t>
  </si>
  <si>
    <t xml:space="preserve">E-070.spec.js</t>
  </si>
  <si>
    <t xml:space="preserve">virt-jump. SHP-9800 visible.</t>
  </si>
  <si>
    <t xml:space="preserve">jump</t>
  </si>
  <si>
    <t xml:space="preserve">virt-jump</t>
  </si>
  <si>
    <t xml:space="preserve">mounted</t>
  </si>
  <si>
    <t xml:space="preserve">scroll container</t>
  </si>
  <si>
    <t xml:space="preserve">E-071</t>
  </si>
  <si>
    <t xml:space="preserve">E-071.spec.js</t>
  </si>
  <si>
    <t xml:space="preserve">Filter Hamburg. virt-out contains of and mounted rows consistent.</t>
  </si>
  <si>
    <t xml:space="preserve">remount</t>
  </si>
  <si>
    <t xml:space="preserve">virt-search</t>
  </si>
  <si>
    <t xml:space="preserve">filtered</t>
  </si>
  <si>
    <t xml:space="preserve">E-072</t>
  </si>
  <si>
    <t xml:space="preserve">E-072.spec.js</t>
  </si>
  <si>
    <t xml:space="preserve">state-empty → state-box No shipments match.</t>
  </si>
  <si>
    <t xml:space="preserve">state-empty</t>
  </si>
  <si>
    <t xml:space="preserve">copy</t>
  </si>
  <si>
    <t xml:space="preserve">empty state</t>
  </si>
  <si>
    <t xml:space="preserve">E-073</t>
  </si>
  <si>
    <t xml:space="preserve">E-073.spec.js</t>
  </si>
  <si>
    <t xml:space="preserve">state-error then state-ready. state-box contains ready.</t>
  </si>
  <si>
    <t xml:space="preserve">states</t>
  </si>
  <si>
    <t xml:space="preserve">state-ready</t>
  </si>
  <si>
    <t xml:space="preserve">ready</t>
  </si>
  <si>
    <t xml:space="preserve">state</t>
  </si>
  <si>
    <t xml:space="preserve">E-074</t>
  </si>
  <si>
    <t xml:space="preserve">E-074.spec.js</t>
  </si>
  <si>
    <t xml:space="preserve">state-load → 4 virt-row skeletons inside state-box.</t>
  </si>
  <si>
    <t xml:space="preserve">reuse testid</t>
  </si>
  <si>
    <t xml:space="preserve">toHaveCount(4)</t>
  </si>
  <si>
    <t xml:space="preserve">4</t>
  </si>
  <si>
    <t xml:space="preserve">skeleton</t>
  </si>
  <si>
    <t xml:space="preserve">E-075</t>
  </si>
  <si>
    <t xml:space="preserve">Network</t>
  </si>
  <si>
    <t xml:space="preserve">/pages/network.html</t>
  </si>
  <si>
    <t xml:space="preserve">E-075.spec.js</t>
  </si>
  <si>
    <t xml:space="preserve">Search Busan. net-status ok count= and a net-row has Busan.</t>
  </si>
  <si>
    <t xml:space="preserve">GET /api/search</t>
  </si>
  <si>
    <t xml:space="preserve">net-go</t>
  </si>
  <si>
    <t xml:space="preserve">row</t>
  </si>
  <si>
    <t xml:space="preserve">API UI</t>
  </si>
  <si>
    <t xml:space="preserve">E-076</t>
  </si>
  <si>
    <t xml:space="preserve">E-076.spec.js</t>
  </si>
  <si>
    <t xml:space="preserve">net-mode-empty. count=0 and net-row count 0.</t>
  </si>
  <si>
    <t xml:space="preserve">mode=empty</t>
  </si>
  <si>
    <t xml:space="preserve">net-mode-empty</t>
  </si>
  <si>
    <t xml:space="preserve">empty API</t>
  </si>
  <si>
    <t xml:space="preserve">E-077</t>
  </si>
  <si>
    <t xml:space="preserve">E-077.spec.js</t>
  </si>
  <si>
    <t xml:space="preserve">net-mode-error. net-status error 500.</t>
  </si>
  <si>
    <t xml:space="preserve">mode=error</t>
  </si>
  <si>
    <t xml:space="preserve">net-mode-error</t>
  </si>
  <si>
    <t xml:space="preserve">500</t>
  </si>
  <si>
    <t xml:space="preserve">error UI</t>
  </si>
  <si>
    <t xml:space="preserve">E-078</t>
  </si>
  <si>
    <t xml:space="preserve">E-078.spec.js</t>
  </si>
  <si>
    <t xml:space="preserve">net-heart becomes not tick 0 via expect.poll. No sleep.</t>
  </si>
  <si>
    <t xml:space="preserve">2s heartbeat</t>
  </si>
  <si>
    <t xml:space="preserve">expect.poll</t>
  </si>
  <si>
    <t xml:space="preserve">tick&gt;0</t>
  </si>
  <si>
    <t xml:space="preserve">poll</t>
  </si>
  <si>
    <t xml:space="preserve">E-079</t>
  </si>
  <si>
    <t xml:space="preserve">E-079.spec.js</t>
  </si>
  <si>
    <t xml:space="preserve">waitForResponse **/api/search** around Search. response.ok().</t>
  </si>
  <si>
    <t xml:space="preserve">subscribe first</t>
  </si>
  <si>
    <t xml:space="preserve">waitForResponse</t>
  </si>
  <si>
    <t xml:space="preserve">E-080</t>
  </si>
  <si>
    <t xml:space="preserve">E-080.spec.js</t>
  </si>
  <si>
    <t xml:space="preserve">Search SHP-4100. first net-row data-ref is SHP-4100.</t>
  </si>
  <si>
    <t xml:space="preserve">dataset</t>
  </si>
  <si>
    <t xml:space="preserve">data-ref</t>
  </si>
  <si>
    <t xml:space="preserve">row key</t>
  </si>
  <si>
    <t xml:space="preserve">E-081</t>
  </si>
  <si>
    <t xml:space="preserve">E-081.spec.js</t>
  </si>
  <si>
    <t xml:space="preserve">Comment why networkidle is banned; assert heartbeat tick still changes after a search.</t>
  </si>
  <si>
    <t xml:space="preserve">room contract</t>
  </si>
  <si>
    <t xml:space="preserve">tick moved</t>
  </si>
  <si>
    <t xml:space="preserve">anti-networkidle</t>
  </si>
  <si>
    <t xml:space="preserve">E-082</t>
  </si>
  <si>
    <t xml:space="preserve">Session</t>
  </si>
  <si>
    <t xml:space="preserve">/pages/session.html</t>
  </si>
  <si>
    <t xml:space="preserve">E-082.spec.js</t>
  </si>
  <si>
    <t xml:space="preserve">Login maker/maker-pass. auth-name Priya Shah, auth-role maker.</t>
  </si>
  <si>
    <t xml:space="preserve">POST /api/login</t>
  </si>
  <si>
    <t xml:space="preserve">auth-submit</t>
  </si>
  <si>
    <t xml:space="preserve">desk</t>
  </si>
  <si>
    <t xml:space="preserve">login</t>
  </si>
  <si>
    <t xml:space="preserve">data/auth.json</t>
  </si>
  <si>
    <t xml:space="preserve">E-083</t>
  </si>
  <si>
    <t xml:space="preserve">E-083.spec.js</t>
  </si>
  <si>
    <t xml:space="preserve">After login, invoice-row contains INV-.</t>
  </si>
  <si>
    <t xml:space="preserve">GET /api/invoices</t>
  </si>
  <si>
    <t xml:space="preserve">invoice-row</t>
  </si>
  <si>
    <t xml:space="preserve">listed</t>
  </si>
  <si>
    <t xml:space="preserve">auth API</t>
  </si>
  <si>
    <t xml:space="preserve">E-084</t>
  </si>
  <si>
    <t xml:space="preserve">E-084.spec.js</t>
  </si>
  <si>
    <t xml:space="preserve">Logout. login-panel visible, dash-panel hidden.</t>
  </si>
  <si>
    <t xml:space="preserve">POST /api/logout</t>
  </si>
  <si>
    <t xml:space="preserve">auth-logout</t>
  </si>
  <si>
    <t xml:space="preserve">logged out</t>
  </si>
  <si>
    <t xml:space="preserve">logout</t>
  </si>
  <si>
    <t xml:space="preserve">E-085</t>
  </si>
  <si>
    <t xml:space="preserve">E-085.spec.js</t>
  </si>
  <si>
    <t xml:space="preserve">Login viewer/viewer-pass. Name Asha Rao, role viewer.</t>
  </si>
  <si>
    <t xml:space="preserve">second role</t>
  </si>
  <si>
    <t xml:space="preserve">auth-role</t>
  </si>
  <si>
    <t xml:space="preserve">viewer</t>
  </si>
  <si>
    <t xml:space="preserve">roles</t>
  </si>
  <si>
    <t xml:space="preserve">E-086</t>
  </si>
  <si>
    <t xml:space="preserve">E-086.spec.js</t>
  </si>
  <si>
    <t xml:space="preserve">refresh-me while logged in. auth-out contains 200.</t>
  </si>
  <si>
    <t xml:space="preserve">GET /api/me</t>
  </si>
  <si>
    <t xml:space="preserve">refresh-me</t>
  </si>
  <si>
    <t xml:space="preserve">200</t>
  </si>
  <si>
    <t xml:space="preserve">cookie</t>
  </si>
  <si>
    <t xml:space="preserve">E-087</t>
  </si>
  <si>
    <t xml:space="preserve">E-087.spec.js</t>
  </si>
  <si>
    <t xml:space="preserve">Login, waitForEvent popup, open-invoice. Popup heading has INV-2201.</t>
  </si>
  <si>
    <t xml:space="preserve">before click</t>
  </si>
  <si>
    <t xml:space="preserve">waitForEvent popup</t>
  </si>
  <si>
    <t xml:space="preserve">heading</t>
  </si>
  <si>
    <t xml:space="preserve">E-088</t>
  </si>
  <si>
    <t xml:space="preserve">E-088.spec.js</t>
  </si>
  <si>
    <t xml:space="preserve">asha / wrong password. auth-error invalid credentials. dash hidden.</t>
  </si>
  <si>
    <t xml:space="preserve">401</t>
  </si>
  <si>
    <t xml:space="preserve">auth-error</t>
  </si>
  <si>
    <t xml:space="preserve">error</t>
  </si>
  <si>
    <t xml:space="preserve">negative</t>
  </si>
  <si>
    <t xml:space="preserve">E-089</t>
  </si>
  <si>
    <t xml:space="preserve">Widgets</t>
  </si>
  <si>
    <t xml:space="preserve">/pages/widgets.html</t>
  </si>
  <si>
    <t xml:space="preserve">E-089.spec.js</t>
  </si>
  <si>
    <t xml:space="preserve">Pick Rotterdam from combobox options. combo-out chose Rotterdam.</t>
  </si>
  <si>
    <t xml:space="preserve">portal listbox</t>
  </si>
  <si>
    <t xml:space="preserve">combobox</t>
  </si>
  <si>
    <t xml:space="preserve">E-090</t>
  </si>
  <si>
    <t xml:space="preserve">E-090.spec.js</t>
  </si>
  <si>
    <t xml:space="preserve">Add EMEA and APAC. chip-out contains both.</t>
  </si>
  <si>
    <t xml:space="preserve">chips</t>
  </si>
  <si>
    <t xml:space="preserve">chip-add-*</t>
  </si>
  <si>
    <t xml:space="preserve">both</t>
  </si>
  <si>
    <t xml:space="preserve">E-091</t>
  </si>
  <si>
    <t xml:space="preserve">E-091.spec.js</t>
  </si>
  <si>
    <t xml:space="preserve">Add EMEA, Remove EMEA by accessible name. chip-out (none).</t>
  </si>
  <si>
    <t xml:space="preserve">aria-label</t>
  </si>
  <si>
    <t xml:space="preserve">Remove EMEA</t>
  </si>
  <si>
    <t xml:space="preserve">cleared</t>
  </si>
  <si>
    <t xml:space="preserve">E-092</t>
  </si>
  <si>
    <t xml:space="preserve">E-092.spec.js</t>
  </si>
  <si>
    <t xml:space="preserve">Type 482193 across otp-0..otp-5. otp-out contains 482193.</t>
  </si>
  <si>
    <t xml:space="preserve">easy path</t>
  </si>
  <si>
    <t xml:space="preserve">fill each</t>
  </si>
  <si>
    <t xml:space="preserve">code</t>
  </si>
  <si>
    <t xml:space="preserve">OTP</t>
  </si>
  <si>
    <t xml:space="preserve">E-093</t>
  </si>
  <si>
    <t xml:space="preserve">E-093.spec.js</t>
  </si>
  <si>
    <t xml:space="preserve">wiz-name then wiz-next-1. URL /step-2/ and wiz-step-2 visible.</t>
  </si>
  <si>
    <t xml:space="preserve">hash</t>
  </si>
  <si>
    <t xml:space="preserve">toHaveURL</t>
  </si>
  <si>
    <t xml:space="preserve">step 2</t>
  </si>
  <si>
    <t xml:space="preserve">wizard</t>
  </si>
  <si>
    <t xml:space="preserve">E-094</t>
  </si>
  <si>
    <t xml:space="preserve">E-094.spec.js</t>
  </si>
  <si>
    <t xml:space="preserve">export-default → export-out export csv.</t>
  </si>
  <si>
    <t xml:space="preserve">left half</t>
  </si>
  <si>
    <t xml:space="preserve">export-default</t>
  </si>
  <si>
    <t xml:space="preserve">split</t>
  </si>
  <si>
    <t xml:space="preserve">E-095</t>
  </si>
  <si>
    <t xml:space="preserve">E-095.spec.js</t>
  </si>
  <si>
    <t xml:space="preserve">export-menu → export-out menu open.</t>
  </si>
  <si>
    <t xml:space="preserve">aria-label More export formats</t>
  </si>
  <si>
    <t xml:space="preserve">export-menu</t>
  </si>
  <si>
    <t xml:space="preserve">split menu</t>
  </si>
  <si>
    <t xml:space="preserve">E-096</t>
  </si>
  <si>
    <t xml:space="preserve">Origins</t>
  </si>
  <si>
    <t xml:space="preserve">/pages/origins.html</t>
  </si>
  <si>
    <t xml:space="preserve">E-096.spec.js</t>
  </si>
  <si>
    <t xml:space="preserve">Parent getByTestId('card-number') count is 0.</t>
  </si>
  <si>
    <t xml:space="preserve">wrong origin</t>
  </si>
  <si>
    <t xml:space="preserve">0</t>
  </si>
  <si>
    <t xml:space="preserve">origin boundary</t>
  </si>
  <si>
    <t xml:space="preserve">E-097</t>
  </si>
  <si>
    <t xml:space="preserve">E-097.spec.js</t>
  </si>
  <si>
    <t xml:space="preserve">frameLocator pay-frame: fill card, pay. pay-out last4=4242.</t>
  </si>
  <si>
    <t xml:space="preserve">127.0.0.1:4174</t>
  </si>
  <si>
    <t xml:space="preserve">token</t>
  </si>
  <si>
    <t xml:space="preserve">cross-origin</t>
  </si>
  <si>
    <t xml:space="preserve">E-098</t>
  </si>
  <si>
    <t xml:space="preserve">E-098.spec.js</t>
  </si>
  <si>
    <t xml:space="preserve">sandbox-frame sandbox-ping. sandbox-out ping.</t>
  </si>
  <si>
    <t xml:space="preserve">allow-scripts only</t>
  </si>
  <si>
    <t xml:space="preserve">ping</t>
  </si>
  <si>
    <t xml:space="preserve">sandbox</t>
  </si>
  <si>
    <t xml:space="preserve">E-099</t>
  </si>
  <si>
    <t xml:space="preserve">E-099.spec.js</t>
  </si>
  <si>
    <t xml:space="preserve">Grant geolocation, set Pune 18.5204,73.8567, geo-ask. geo-out contains 18.5204.</t>
  </si>
  <si>
    <t xml:space="preserve">permissions</t>
  </si>
  <si>
    <t xml:space="preserve">setGeolocation</t>
  </si>
  <si>
    <t xml:space="preserve">coords</t>
  </si>
  <si>
    <t xml:space="preserve">geo</t>
  </si>
  <si>
    <t xml:space="preserve">E-100</t>
  </si>
  <si>
    <t xml:space="preserve">E-100.spec.js</t>
  </si>
  <si>
    <t xml:space="preserve">Grant clipboard, clip-write then clip-read. clip-input non-empty.</t>
  </si>
  <si>
    <t xml:space="preserve">clipboard-read/write</t>
  </si>
  <si>
    <t xml:space="preserve">grantPermissions</t>
  </si>
  <si>
    <t xml:space="preserve">clipboard</t>
  </si>
  <si>
    <t xml:space="preserve">M-001</t>
  </si>
  <si>
    <t xml:space="preserve">Medium</t>
  </si>
  <si>
    <t xml:space="preserve">M-001.spec.js</t>
  </si>
  <si>
    <t xml:space="preserve">Prove input-keystroke rejects fill('pasted') and accepts pressSequentially('typed').</t>
  </si>
  <si>
    <t xml:space="preserve">trap</t>
  </si>
  <si>
    <t xml:space="preserve">fill vs pressSequentially</t>
  </si>
  <si>
    <t xml:space="preserve">both asserts</t>
  </si>
  <si>
    <t xml:space="preserve">pressSequentially</t>
  </si>
  <si>
    <t xml:space="preserve">M-002</t>
  </si>
  <si>
    <t xml:space="preserve">M-002.spec.js</t>
  </si>
  <si>
    <t xml:space="preserve">Type 4242424242424242 into input-masked. Assert formatted spaces, not raw 16 digits.</t>
  </si>
  <si>
    <t xml:space="preserve">mask</t>
  </si>
  <si>
    <t xml:space="preserve">spaces present</t>
  </si>
  <si>
    <t xml:space="preserve">M-003</t>
  </si>
  <si>
    <t xml:space="preserve">M-003.spec.js</t>
  </si>
  <si>
    <t xml:space="preserve">Type '  padded  ' into input-trim, blur, value is trimmed.</t>
  </si>
  <si>
    <t xml:space="preserve">blur</t>
  </si>
  <si>
    <t xml:space="preserve">press Tab</t>
  </si>
  <si>
    <t xml:space="preserve">trimmed</t>
  </si>
  <si>
    <t xml:space="preserve">trim</t>
  </si>
  <si>
    <t xml:space="preserve">M-004</t>
  </si>
  <si>
    <t xml:space="preserve">M-004.spec.js</t>
  </si>
  <si>
    <t xml:space="preserve">Turn switch-input on via label click OR check({force:true}). Assert checked.</t>
  </si>
  <si>
    <t xml:space="preserve">1x1 input</t>
  </si>
  <si>
    <t xml:space="preserve">force or label</t>
  </si>
  <si>
    <t xml:space="preserve">checked</t>
  </si>
  <si>
    <t xml:space="preserve">force</t>
  </si>
  <si>
    <t xml:space="preserve">M-005</t>
  </si>
  <si>
    <t xml:space="preserve">M-005.spec.js</t>
  </si>
  <si>
    <t xml:space="preserve">Type val into typeahead. Wait typeahead-status count. Exactly 2 options.</t>
  </si>
  <si>
    <t xml:space="preserve">450ms debounce</t>
  </si>
  <si>
    <t xml:space="preserve">no sleep</t>
  </si>
  <si>
    <t xml:space="preserve">2 options</t>
  </si>
  <si>
    <t xml:space="preserve">debounce</t>
  </si>
  <si>
    <t xml:space="preserve">M-006</t>
  </si>
  <si>
    <t xml:space="preserve">M-006.spec.js</t>
  </si>
  <si>
    <t xml:space="preserve">Parent checkbox: tick EMEA+APAC+AMER then untick AMER. Assert indeterminate again.</t>
  </si>
  <si>
    <t xml:space="preserve">tri-state</t>
  </si>
  <si>
    <t xml:space="preserve">indeterminate</t>
  </si>
  <si>
    <t xml:space="preserve">checkbox tree</t>
  </si>
  <si>
    <t xml:space="preserve">M-007</t>
  </si>
  <si>
    <t xml:space="preserve">M-007.spec.js</t>
  </si>
  <si>
    <t xml:space="preserve">Click aria-disabled-btn with {force:true}. Decide and assert whether out stays blocked (page still guards) or published.</t>
  </si>
  <si>
    <t xml:space="preserve">force vs guard</t>
  </si>
  <si>
    <t xml:space="preserve">documented assert</t>
  </si>
  <si>
    <t xml:space="preserve">aria-disabled force</t>
  </si>
  <si>
    <t xml:space="preserve">M-008</t>
  </si>
  <si>
    <t xml:space="preserve">M-008.spec.js</t>
  </si>
  <si>
    <t xml:space="preserve">Read 3rd row ref at page size 10, switch to 5, show nth(2) identity change after sort.</t>
  </si>
  <si>
    <t xml:space="preserve">pager+sort</t>
  </si>
  <si>
    <t xml:space="preserve">nth vs key</t>
  </si>
  <si>
    <t xml:space="preserve">assertion proves it</t>
  </si>
  <si>
    <t xml:space="preserve">nth trap</t>
  </si>
  <si>
    <t xml:space="preserve">M-009</t>
  </si>
  <si>
    <t xml:space="preserve">M-009.spec.js</t>
  </si>
  <si>
    <t xml:space="preserve">Delete SHP-4102. Its locator count becomes 0.</t>
  </si>
  <si>
    <t xml:space="preserve">data-ship</t>
  </si>
  <si>
    <t xml:space="preserve">gone</t>
  </si>
  <si>
    <t xml:space="preserve">delete</t>
  </si>
  <si>
    <t xml:space="preserve">M-010</t>
  </si>
  <si>
    <t xml:space="preserve">M-010.spec.js</t>
  </si>
  <si>
    <t xml:space="preserve">Sum visible weight cells and compare to foot-weight.</t>
  </si>
  <si>
    <t xml:space="preserve">evaluate numbers</t>
  </si>
  <si>
    <t xml:space="preserve">match</t>
  </si>
  <si>
    <t xml:space="preserve">M-011</t>
  </si>
  <si>
    <t xml:space="preserve">M-011.spec.js</t>
  </si>
  <si>
    <t xml:space="preserve">Edit a quota cell, commit Enter, assert new text.</t>
  </si>
  <si>
    <t xml:space="preserve">cell-editor</t>
  </si>
  <si>
    <t xml:space="preserve">press Enter</t>
  </si>
  <si>
    <t xml:space="preserve">text</t>
  </si>
  <si>
    <t xml:space="preserve">inline edit</t>
  </si>
  <si>
    <t xml:space="preserve">M-012</t>
  </si>
  <si>
    <t xml:space="preserve">M-012.spec.js</t>
  </si>
  <si>
    <t xml:space="preserve">Count inner-table rows without counting merged-table outer rows.</t>
  </si>
  <si>
    <t xml:space="preserve">nested table</t>
  </si>
  <si>
    <t xml:space="preserve">locator scoped</t>
  </si>
  <si>
    <t xml:space="preserve">inner only</t>
  </si>
  <si>
    <t xml:space="preserve">M-013</t>
  </si>
  <si>
    <t xml:space="preserve">M-013.spec.js</t>
  </si>
  <si>
    <t xml:space="preserve">Pause live feed via feed-toggle. feed-state paused. Then read a live-rate without it changing mid-assert.</t>
  </si>
  <si>
    <t xml:space="preserve">1s rewrite</t>
  </si>
  <si>
    <t xml:space="preserve">feed-toggle</t>
  </si>
  <si>
    <t xml:space="preserve">paused</t>
  </si>
  <si>
    <t xml:space="preserve">live table</t>
  </si>
  <si>
    <t xml:space="preserve">M-014</t>
  </si>
  <si>
    <t xml:space="preserve">M-014.spec.js</t>
  </si>
  <si>
    <t xml:space="preserve">expect.poll feed-ticks until &gt; 2.</t>
  </si>
  <si>
    <t xml:space="preserve">feed-ticks</t>
  </si>
  <si>
    <t xml:space="preserve">&gt;2</t>
  </si>
  <si>
    <t xml:space="preserve">M-015</t>
  </si>
  <si>
    <t xml:space="preserve">M-015.spec.js</t>
  </si>
  <si>
    <t xml:space="preserve">Filter from data/filter-cases.csv (term,expectedMaxRows) using for-loop or test.describe pack.</t>
  </si>
  <si>
    <t xml:space="preserve">data-driven</t>
  </si>
  <si>
    <t xml:space="preserve">all cases</t>
  </si>
  <si>
    <t xml:space="preserve">CSV matrix</t>
  </si>
  <si>
    <t xml:space="preserve">data/filter-cases.csv</t>
  </si>
  <si>
    <t xml:space="preserve">M-016</t>
  </si>
  <si>
    <t xml:space="preserve">M-016.spec.js</t>
  </si>
  <si>
    <t xml:space="preserve">Burst-click exclusive heads; never two expanded at once (poll after each).</t>
  </si>
  <si>
    <t xml:space="preserve">animation</t>
  </si>
  <si>
    <t xml:space="preserve">aria-expanded</t>
  </si>
  <si>
    <t xml:space="preserve">max 1</t>
  </si>
  <si>
    <t xml:space="preserve">race</t>
  </si>
  <si>
    <t xml:space="preserve">M-017</t>
  </si>
  <si>
    <t xml:space="preserve">M-017.spec.js</t>
  </si>
  <si>
    <t xml:space="preserve">Open frame-acc-head, inside #config-frame fill frame-host-input, save, frame-acc-out contains host:port.</t>
  </si>
  <si>
    <t xml:space="preserve">iframe accordion</t>
  </si>
  <si>
    <t xml:space="preserve">frame acc</t>
  </si>
  <si>
    <t xml:space="preserve">M-018</t>
  </si>
  <si>
    <t xml:space="preserve">M-018.spec.js</t>
  </si>
  <si>
    <t xml:space="preserve">destroy-head open then close: panel count returns to 0. hidden-panel stays in DOM when closed.</t>
  </si>
  <si>
    <t xml:space="preserve">destroy vs hide</t>
  </si>
  <si>
    <t xml:space="preserve">contrast</t>
  </si>
  <si>
    <t xml:space="preserve">lifecycle</t>
  </si>
  <si>
    <t xml:space="preserve">M-019</t>
  </si>
  <si>
    <t xml:space="preserve">M-019.spec.js</t>
  </si>
  <si>
    <t xml:space="preserve">Open all three lazy heads. Each lazy-content-* contains artifact.</t>
  </si>
  <si>
    <t xml:space="preserve">lazy x3</t>
  </si>
  <si>
    <t xml:space="preserve">all three</t>
  </si>
  <si>
    <t xml:space="preserve">lazy pack</t>
  </si>
  <si>
    <t xml:space="preserve">M-020</t>
  </si>
  <si>
    <t xml:space="preserve">M-020.spec.js</t>
  </si>
  <si>
    <t xml:space="preserve">getByRole name matches split header despite span fragments.</t>
  </si>
  <si>
    <t xml:space="preserve">split-head</t>
  </si>
  <si>
    <t xml:space="preserve">name option</t>
  </si>
  <si>
    <t xml:space="preserve">opened</t>
  </si>
  <si>
    <t xml:space="preserve">a11y name</t>
  </si>
  <si>
    <t xml:space="preserve">M-021</t>
  </si>
  <si>
    <t xml:space="preserve">M-021.spec.js</t>
  </si>
  <si>
    <t xml:space="preserve">Drill-down: year 2027, Mar, day 12 without using data-date on the day grid (use cal-title / cal-year / cal-month / cal-day).</t>
  </si>
  <si>
    <t xml:space="preserve">no data-date</t>
  </si>
  <si>
    <t xml:space="preserve">filter hasText</t>
  </si>
  <si>
    <t xml:space="preserve">2027-03-12</t>
  </si>
  <si>
    <t xml:space="preserve">drill</t>
  </si>
  <si>
    <t xml:space="preserve">M-022</t>
  </si>
  <si>
    <t xml:space="preserve">M-022.spec.js</t>
  </si>
  <si>
    <t xml:space="preserve">Range 2026-08-26 to 2026-09-04. range-out contains 10 days.</t>
  </si>
  <si>
    <t xml:space="preserve">two panels</t>
  </si>
  <si>
    <t xml:space="preserve">data-date left/right</t>
  </si>
  <si>
    <t xml:space="preserve">10 days</t>
  </si>
  <si>
    <t xml:space="preserve">M-023</t>
  </si>
  <si>
    <t xml:space="preserve">M-023.spec.js</t>
  </si>
  <si>
    <t xml:space="preserve">Click a Saturday on blocked-calendar. blocked-out stays empty.</t>
  </si>
  <si>
    <t xml:space="preserve">weekend block</t>
  </si>
  <si>
    <t xml:space="preserve">data-date Sat</t>
  </si>
  <si>
    <t xml:space="preserve">weekend</t>
  </si>
  <si>
    <t xml:space="preserve">M-024</t>
  </si>
  <si>
    <t xml:space="preserve">M-024.spec.js</t>
  </si>
  <si>
    <t xml:space="preserve">Drive native-datetime, month, week from data/calendar-pack.json. Click native-read. Out contains week key.</t>
  </si>
  <si>
    <t xml:space="preserve">pack</t>
  </si>
  <si>
    <t xml:space="preserve">readJson</t>
  </si>
  <si>
    <t xml:space="preserve">week in out</t>
  </si>
  <si>
    <t xml:space="preserve">JSON pack</t>
  </si>
  <si>
    <t xml:space="preserve">data/calendar-pack.json</t>
  </si>
  <si>
    <t xml:space="preserve">M-025</t>
  </si>
  <si>
    <t xml:space="preserve">M-025.spec.js</t>
  </si>
  <si>
    <t xml:space="preserve">Use Today on popup and assert input equals the calendar data-today cell.</t>
  </si>
  <si>
    <t xml:space="preserve">whatever today is</t>
  </si>
  <si>
    <t xml:space="preserve">Today button</t>
  </si>
  <si>
    <t xml:space="preserve">today</t>
  </si>
  <si>
    <t xml:space="preserve">M-026</t>
  </si>
  <si>
    <t xml:space="preserve">M-026.spec.js</t>
  </si>
  <si>
    <t xml:space="preserve">Hidden input upload-hidden still accepts two files. Button text 2 attachments selected.</t>
  </si>
  <si>
    <t xml:space="preserve">display:none</t>
  </si>
  <si>
    <t xml:space="preserve">setInputFiles on hidden</t>
  </si>
  <si>
    <t xml:space="preserve">2 attachments</t>
  </si>
  <si>
    <t xml:space="preserve">hidden input</t>
  </si>
  <si>
    <t xml:space="preserve">M-027</t>
  </si>
  <si>
    <t xml:space="preserve">M-027.spec.js</t>
  </si>
  <si>
    <t xml:space="preserve">Drop two in-memory files on dropzone in one DataTransfer. drop-file list has 2.</t>
  </si>
  <si>
    <t xml:space="preserve">no input</t>
  </si>
  <si>
    <t xml:space="preserve">dispatch drop</t>
  </si>
  <si>
    <t xml:space="preserve">drop</t>
  </si>
  <si>
    <t xml:space="preserve">M-028</t>
  </si>
  <si>
    <t xml:space="preserve">M-028.spec.js</t>
  </si>
  <si>
    <t xml:space="preserve">Start progress upload then upload-cancel before success. progress-out reflects cancel.</t>
  </si>
  <si>
    <t xml:space="preserve">~2.4s</t>
  </si>
  <si>
    <t xml:space="preserve">upload-cancel</t>
  </si>
  <si>
    <t xml:space="preserve">cancelled</t>
  </si>
  <si>
    <t xml:space="preserve">cancel</t>
  </si>
  <si>
    <t xml:space="preserve">M-029</t>
  </si>
  <si>
    <t xml:space="preserve">M-029.spec.js</t>
  </si>
  <si>
    <t xml:space="preserve">download-random filename matches /^export-[a-z0-9]+\.txt$/.</t>
  </si>
  <si>
    <t xml:space="preserve">blob</t>
  </si>
  <si>
    <t xml:space="preserve">regex</t>
  </si>
  <si>
    <t xml:space="preserve">random name</t>
  </si>
  <si>
    <t xml:space="preserve">M-030</t>
  </si>
  <si>
    <t xml:space="preserve">M-030.spec.js</t>
  </si>
  <si>
    <t xml:space="preserve">generate-report, wait report-link visible, download it. Name /^report-\d+\.csv$/.</t>
  </si>
  <si>
    <t xml:space="preserve">link appears late</t>
  </si>
  <si>
    <t xml:space="preserve">toBeVisible timeout 10s</t>
  </si>
  <si>
    <t xml:space="preserve">late link</t>
  </si>
  <si>
    <t xml:space="preserve">M-031</t>
  </si>
  <si>
    <t xml:space="preserve">M-031.spec.js</t>
  </si>
  <si>
    <t xml:space="preserve">Frame #file-frame frame-download-blob. waitForEvent download on PAGE. Filename manifest.txt.</t>
  </si>
  <si>
    <t xml:space="preserve">event on page</t>
  </si>
  <si>
    <t xml:space="preserve">manifest.txt</t>
  </si>
  <si>
    <t xml:space="preserve">frame download</t>
  </si>
  <si>
    <t xml:space="preserve">M-032</t>
  </si>
  <si>
    <t xml:space="preserve">M-032.spec.js</t>
  </si>
  <si>
    <t xml:space="preserve">Fill right sibling iframe via src*=side=right. sibling-relay mentions right panel.</t>
  </si>
  <si>
    <t xml:space="preserve">shared name</t>
  </si>
  <si>
    <t xml:space="preserve">frameLocator src</t>
  </si>
  <si>
    <t xml:space="preserve">right</t>
  </si>
  <si>
    <t xml:space="preserve">sibling name</t>
  </si>
  <si>
    <t xml:space="preserve">M-033</t>
  </si>
  <si>
    <t xml:space="preserve">M-033.spec.js</t>
  </si>
  <si>
    <t xml:space="preserve">late-frame panel-input accepts text (frame injected ~2.5s). No sleep.</t>
  </si>
  <si>
    <t xml:space="preserve">#late-frame</t>
  </si>
  <si>
    <t xml:space="preserve">frameLocator waits</t>
  </si>
  <si>
    <t xml:space="preserve">value set</t>
  </si>
  <si>
    <t xml:space="preserve">late frame</t>
  </si>
  <si>
    <t xml:space="preserve">M-034</t>
  </si>
  <si>
    <t xml:space="preserve">M-034.spec.js</t>
  </si>
  <si>
    <t xml:space="preserve">Shadow-hosted frame: panel-tag is panel · shadow.</t>
  </si>
  <si>
    <t xml:space="preserve">shadow-frame-host iframe</t>
  </si>
  <si>
    <t xml:space="preserve">tag</t>
  </si>
  <si>
    <t xml:space="preserve">shadow frame</t>
  </si>
  <si>
    <t xml:space="preserve">M-035</t>
  </si>
  <si>
    <t xml:space="preserve">M-035.spec.js</t>
  </si>
  <si>
    <t xml:space="preserve">Scope osaka table row frame. panel-tag panel · JP-W2.</t>
  </si>
  <si>
    <t xml:space="preserve">data-site=osaka</t>
  </si>
  <si>
    <t xml:space="preserve">row.frameLocator</t>
  </si>
  <si>
    <t xml:space="preserve">JP-W2</t>
  </si>
  <si>
    <t xml:space="preserve">frame in table</t>
  </si>
  <si>
    <t xml:space="preserve">M-036</t>
  </si>
  <si>
    <t xml:space="preserve">M-036.spec.js</t>
  </si>
  <si>
    <t xml:space="preserve">Prove decoy fill does not fire relay; then fill depth 4 and relay fires. One spec both paths.</t>
  </si>
  <si>
    <t xml:space="preserve">two locators</t>
  </si>
  <si>
    <t xml:space="preserve">decoy vs real</t>
  </si>
  <si>
    <t xml:space="preserve">M-037</t>
  </si>
  <si>
    <t xml:space="preserve">M-037.spec.js</t>
  </si>
  <si>
    <t xml:space="preserve">Click #save must reject (strict mode). Catch and then click footer.</t>
  </si>
  <si>
    <t xml:space="preserve">strict</t>
  </si>
  <si>
    <t xml:space="preserve">expect().rejects or try</t>
  </si>
  <si>
    <t xml:space="preserve">footer out</t>
  </si>
  <si>
    <t xml:space="preserve">M-038</t>
  </si>
  <si>
    <t xml:space="preserve">M-038.spec.js</t>
  </si>
  <si>
    <t xml:space="preserve">getByText Order #4417/4418/4419 shipped all visible despite fragments/nbsp.</t>
  </si>
  <si>
    <t xml:space="preserve">normalised text</t>
  </si>
  <si>
    <t xml:space="preserve">getByText</t>
  </si>
  <si>
    <t xml:space="preserve">M-039</t>
  </si>
  <si>
    <t xml:space="preserve">M-039.spec.js</t>
  </si>
  <si>
    <t xml:space="preserve">Remove button in Drop RFC1918 row only. repeat-out contains that rule.</t>
  </si>
  <si>
    <t xml:space="preserve">12 Remove</t>
  </si>
  <si>
    <t xml:space="preserve">row scope</t>
  </si>
  <si>
    <t xml:space="preserve">right row</t>
  </si>
  <si>
    <t xml:space="preserve">repeated name</t>
  </si>
  <si>
    <t xml:space="preserve">M-040</t>
  </si>
  <si>
    <t xml:space="preserve">M-040.spec.js</t>
  </si>
  <si>
    <t xml:space="preserve">covered-button click fails until lift-veil. Then click succeeds overlay-out reached the button.</t>
  </si>
  <si>
    <t xml:space="preserve">interceptor</t>
  </si>
  <si>
    <t xml:space="preserve">expect reject then click</t>
  </si>
  <si>
    <t xml:space="preserve">reached</t>
  </si>
  <si>
    <t xml:space="preserve">overlay</t>
  </si>
  <si>
    <t xml:space="preserve">M-041</t>
  </si>
  <si>
    <t xml:space="preserve">M-041.spec.js</t>
  </si>
  <si>
    <t xml:space="preserve">After late-testid appears, also assert hydrate-btn id still exists. Click via testid only.</t>
  </si>
  <si>
    <t xml:space="preserve">v2 hydrate</t>
  </si>
  <si>
    <t xml:space="preserve">M-042</t>
  </si>
  <si>
    <t xml:space="preserve">M-042.spec.js</t>
  </si>
  <si>
    <t xml:space="preserve">Fill all three gym-panel hosts with different codes, submit each, relay mentions all three codes.</t>
  </si>
  <si>
    <t xml:space="preserve">three instances</t>
  </si>
  <si>
    <t xml:space="preserve">host filter</t>
  </si>
  <si>
    <t xml:space="preserve">multi host</t>
  </si>
  <si>
    <t xml:space="preserve">M-043</t>
  </si>
  <si>
    <t xml:space="preserve">M-043.spec.js</t>
  </si>
  <si>
    <t xml:space="preserve">meter-up then read gym-meter [part=fill] width 84%.</t>
  </si>
  <si>
    <t xml:space="preserve">::part</t>
  </si>
  <si>
    <t xml:space="preserve">evaluate style.width</t>
  </si>
  <si>
    <t xml:space="preserve">84%</t>
  </si>
  <si>
    <t xml:space="preserve">part</t>
  </si>
  <si>
    <t xml:space="preserve">M-044</t>
  </si>
  <si>
    <t xml:space="preserve">M-044.spec.js</t>
  </si>
  <si>
    <t xml:space="preserve">slotted-button click. slot-out contains gym-card.</t>
  </si>
  <si>
    <t xml:space="preserve">light DOM</t>
  </si>
  <si>
    <t xml:space="preserve">slotted</t>
  </si>
  <si>
    <t xml:space="preserve">slot</t>
  </si>
  <si>
    <t xml:space="preserve">M-045</t>
  </si>
  <si>
    <t xml:space="preserve">M-045.spec.js</t>
  </si>
  <si>
    <t xml:space="preserve">frame #shadow-frame: fill shadow-input FRAMED, frame-shadow-out contains FRAMED.</t>
  </si>
  <si>
    <t xml:space="preserve">frame+shadow</t>
  </si>
  <si>
    <t xml:space="preserve">FRAMED</t>
  </si>
  <si>
    <t xml:space="preserve">frame shadow</t>
  </si>
  <si>
    <t xml:space="preserve">M-046</t>
  </si>
  <si>
    <t xml:space="preserve">M-046.spec.js</t>
  </si>
  <si>
    <t xml:space="preserve">Without accepting cookies, page-save click is intercepted or does not produce saved from page. Then accept and succeed.</t>
  </si>
  <si>
    <t xml:space="preserve">banner steals click</t>
  </si>
  <si>
    <t xml:space="preserve">cookie-banner</t>
  </si>
  <si>
    <t xml:space="preserve">before/after</t>
  </si>
  <si>
    <t xml:space="preserve">intercept</t>
  </si>
  <si>
    <t xml:space="preserve">M-047</t>
  </si>
  <si>
    <t xml:space="preserve">M-047.spec.js</t>
  </si>
  <si>
    <t xml:space="preserve">getByRole button name Save has count &gt;=2 on the page (chrome+page). Scope to sticky-chrome vs main card.</t>
  </si>
  <si>
    <t xml:space="preserve">strict mode waiting to happen</t>
  </si>
  <si>
    <t xml:space="preserve">two regions</t>
  </si>
  <si>
    <t xml:space="preserve">M-048</t>
  </si>
  <si>
    <t xml:space="preserve">M-048.spec.js</t>
  </si>
  <si>
    <t xml:space="preserve">Open dialog: page Save + chrome Save + dialog Save. Clicking unscoped Save throws or is ambiguous. Use dialog scope.</t>
  </si>
  <si>
    <t xml:space="preserve">3 Saves</t>
  </si>
  <si>
    <t xml:space="preserve">saved INV</t>
  </si>
  <si>
    <t xml:space="preserve">collision</t>
  </si>
  <si>
    <t xml:space="preserve">M-049</t>
  </si>
  <si>
    <t xml:space="preserve">M-049.spec.js</t>
  </si>
  <si>
    <t xml:space="preserve">While dialog open, behind-dialog does not become clicked-through (inert). inert-out stays empty or not clicked through.</t>
  </si>
  <si>
    <t xml:space="preserve">behind-dialog</t>
  </si>
  <si>
    <t xml:space="preserve">not clicked through</t>
  </si>
  <si>
    <t xml:space="preserve">M-050</t>
  </si>
  <si>
    <t xml:space="preserve">M-050.spec.js</t>
  </si>
  <si>
    <t xml:space="preserve">Push info, ok, error toasts. Assert last toast-out last=error and stack count peaked at 3.</t>
  </si>
  <si>
    <t xml:space="preserve">toast-stack</t>
  </si>
  <si>
    <t xml:space="preserve">peak 3</t>
  </si>
  <si>
    <t xml:space="preserve">M-051</t>
  </si>
  <si>
    <t xml:space="preserve">M-051.spec.js</t>
  </si>
  <si>
    <t xml:space="preserve">Dismiss dialog by clicking the backdrop (dialog-root). dialog-out dialog → dismissed.</t>
  </si>
  <si>
    <t xml:space="preserve">root click</t>
  </si>
  <si>
    <t xml:space="preserve">dialog-root</t>
  </si>
  <si>
    <t xml:space="preserve">dismissed</t>
  </si>
  <si>
    <t xml:space="preserve">backdrop</t>
  </si>
  <si>
    <t xml:space="preserve">M-052</t>
  </si>
  <si>
    <t xml:space="preserve">M-052.spec.js</t>
  </si>
  <si>
    <t xml:space="preserve">Reject cookies (gym.consent=0). Banner hidden. Reload: banner stays gone because reject also stores a flag.</t>
  </si>
  <si>
    <t xml:space="preserve">localStorage 0</t>
  </si>
  <si>
    <t xml:space="preserve">cookie-reject</t>
  </si>
  <si>
    <t xml:space="preserve">stays hidden</t>
  </si>
  <si>
    <t xml:space="preserve">storage pollution</t>
  </si>
  <si>
    <t xml:space="preserve">M-053</t>
  </si>
  <si>
    <t xml:space="preserve">M-053.spec.js</t>
  </si>
  <si>
    <t xml:space="preserve">Clear localStorage gym.consent in test beforeEach so specs do not pollute each other. Prove banner visible on fresh context after clear.</t>
  </si>
  <si>
    <t xml:space="preserve">isolation</t>
  </si>
  <si>
    <t xml:space="preserve">evaluate localStorage</t>
  </si>
  <si>
    <t xml:space="preserve">visible again</t>
  </si>
  <si>
    <t xml:space="preserve">M-054</t>
  </si>
  <si>
    <t xml:space="preserve">M-054.spec.js</t>
  </si>
  <si>
    <t xml:space="preserve">test.step: accept → open dialog → save → assert. Soft-assert dialog-out and save-out independently if you also click page save after close.</t>
  </si>
  <si>
    <t xml:space="preserve">steps</t>
  </si>
  <si>
    <t xml:space="preserve">test.step</t>
  </si>
  <si>
    <t xml:space="preserve">both outs</t>
  </si>
  <si>
    <t xml:space="preserve">M-055</t>
  </si>
  <si>
    <t xml:space="preserve">M-055.spec.js</t>
  </si>
  <si>
    <t xml:space="preserve">Scroll virt-viewport yourself (no Jump) until SHP-9800 mounts. Assert visible.</t>
  </si>
  <si>
    <t xml:space="preserve">do not use virt-jump</t>
  </si>
  <si>
    <t xml:space="preserve">evaluate scrollTop</t>
  </si>
  <si>
    <t xml:space="preserve">manual scroll</t>
  </si>
  <si>
    <t xml:space="preserve">M-056</t>
  </si>
  <si>
    <t xml:space="preserve">M-056.spec.js</t>
  </si>
  <si>
    <t xml:space="preserve">After jump, virt-out window indexes should include the 9800 row index (~8800).</t>
  </si>
  <si>
    <t xml:space="preserve">out text</t>
  </si>
  <si>
    <t xml:space="preserve">toContainText</t>
  </si>
  <si>
    <t xml:space="preserve">window includes it</t>
  </si>
  <si>
    <t xml:space="preserve">window math</t>
  </si>
  <si>
    <t xml:space="preserve">M-057</t>
  </si>
  <si>
    <t xml:space="preserve">M-057.spec.js</t>
  </si>
  <si>
    <t xml:space="preserve">Toggle A/B wrapper. Rows still findable by data-ref. Count of [data-ab=wrap] becomes &gt;0.</t>
  </si>
  <si>
    <t xml:space="preserve">variant b</t>
  </si>
  <si>
    <t xml:space="preserve">virt-ab</t>
  </si>
  <si>
    <t xml:space="preserve">wraps present</t>
  </si>
  <si>
    <t xml:space="preserve">A/B</t>
  </si>
  <si>
    <t xml:space="preserve">M-058</t>
  </si>
  <si>
    <t xml:space="preserve">M-058.spec.js</t>
  </si>
  <si>
    <t xml:space="preserve">On state-load, skeleton virt-row nodes have no data-ref. Prove they are not real rows.</t>
  </si>
  <si>
    <t xml:space="preserve">skeleton trap</t>
  </si>
  <si>
    <t xml:space="preserve">getAttribute</t>
  </si>
  <si>
    <t xml:space="preserve">no ref</t>
  </si>
  <si>
    <t xml:space="preserve">skeleton vs real</t>
  </si>
  <si>
    <t xml:space="preserve">M-059</t>
  </si>
  <si>
    <t xml:space="preserve">M-059.spec.js</t>
  </si>
  <si>
    <t xml:space="preserve">Filter ZZZZZ. Mounted virt-row count 0 and virt-out of 0.</t>
  </si>
  <si>
    <t xml:space="preserve">empty filter</t>
  </si>
  <si>
    <t xml:space="preserve">M-060</t>
  </si>
  <si>
    <t xml:space="preserve">M-060.spec.js</t>
  </si>
  <si>
    <t xml:space="preserve">Search from data/virt-filter.csv and assert each expectedMin mounted or out text.</t>
  </si>
  <si>
    <t xml:space="preserve">CSV</t>
  </si>
  <si>
    <t xml:space="preserve">data/virt-filter.csv</t>
  </si>
  <si>
    <t xml:space="preserve">M-061</t>
  </si>
  <si>
    <t xml:space="preserve">M-061.spec.js</t>
  </si>
  <si>
    <t xml:space="preserve">After jumping to 9800, filter Hamburg — 9800 must unmount (not Hamburg).</t>
  </si>
  <si>
    <t xml:space="preserve">toHaveCount(0) on that ref</t>
  </si>
  <si>
    <t xml:space="preserve">unmounted</t>
  </si>
  <si>
    <t xml:space="preserve">filter clears window</t>
  </si>
  <si>
    <t xml:space="preserve">M-062</t>
  </si>
  <si>
    <t xml:space="preserve">M-062.spec.js</t>
  </si>
  <si>
    <t xml:space="preserve">Do not use page.mouse.wheel on window; wheel/scroll the container. Assert scrollTop &gt; 0.</t>
  </si>
  <si>
    <t xml:space="preserve">container not window</t>
  </si>
  <si>
    <t xml:space="preserve">scrolled</t>
  </si>
  <si>
    <t xml:space="preserve">container scroll</t>
  </si>
  <si>
    <t xml:space="preserve">M-063</t>
  </si>
  <si>
    <t xml:space="preserve">M-063.spec.js</t>
  </si>
  <si>
    <t xml:space="preserve">state-load then immediately query first virt-row on the PAGE (not state-box). Real board rows still exist — do not confuse the two.</t>
  </si>
  <si>
    <t xml:space="preserve">two virt-row sources</t>
  </si>
  <si>
    <t xml:space="preserve">locator filter</t>
  </si>
  <si>
    <t xml:space="preserve">board still mounted</t>
  </si>
  <si>
    <t xml:space="preserve">M-064</t>
  </si>
  <si>
    <t xml:space="preserve">M-064.spec.js</t>
  </si>
  <si>
    <t xml:space="preserve">Register route.fulfill BEFORE goto returning one SHP-MOCK row. Search. Only that row renders.</t>
  </si>
  <si>
    <t xml:space="preserve">too-late route is a flake</t>
  </si>
  <si>
    <t xml:space="preserve">page.route</t>
  </si>
  <si>
    <t xml:space="preserve">SHP-MOCK</t>
  </si>
  <si>
    <t xml:space="preserve">route.fulfill</t>
  </si>
  <si>
    <t xml:space="preserve">M-065</t>
  </si>
  <si>
    <t xml:space="preserve">M-065.spec.js</t>
  </si>
  <si>
    <t xml:space="preserve">route.abort **/api/search**. Click Search. net-status network failed.</t>
  </si>
  <si>
    <t xml:space="preserve">abort</t>
  </si>
  <si>
    <t xml:space="preserve">route.abort</t>
  </si>
  <si>
    <t xml:space="preserve">failed</t>
  </si>
  <si>
    <t xml:space="preserve">M-066</t>
  </si>
  <si>
    <t xml:space="preserve">M-066.spec.js</t>
  </si>
  <si>
    <t xml:space="preserve">Fulfill empty items array without clicking mode=empty. UI count=0.</t>
  </si>
  <si>
    <t xml:space="preserve">do not use page mode buttons</t>
  </si>
  <si>
    <t xml:space="preserve">fulfill empty</t>
  </si>
  <si>
    <t xml:space="preserve">M-067</t>
  </si>
  <si>
    <t xml:space="preserve">M-067.spec.js</t>
  </si>
  <si>
    <t xml:space="preserve">Fulfill status 500 body {error:boom}. net-status contains 500.</t>
  </si>
  <si>
    <t xml:space="preserve">do not use mode=error</t>
  </si>
  <si>
    <t xml:space="preserve">fulfill 500</t>
  </si>
  <si>
    <t xml:space="preserve">M-068</t>
  </si>
  <si>
    <t xml:space="preserve">M-068.spec.js</t>
  </si>
  <si>
    <t xml:space="preserve">continue() but rewrite q so Busan search returns Hamburg row from server... or fulfill Hamburg. Assert Hamburg.</t>
  </si>
  <si>
    <t xml:space="preserve">continue vs fulfill</t>
  </si>
  <si>
    <t xml:space="preserve">route.continue or fulfill</t>
  </si>
  <si>
    <t xml:space="preserve">Hamburg</t>
  </si>
  <si>
    <t xml:space="preserve">rewrite</t>
  </si>
  <si>
    <t xml:space="preserve">M-069</t>
  </si>
  <si>
    <t xml:space="preserve">M-069.spec.js</t>
  </si>
  <si>
    <t xml:space="preserve">waitForResponse subscribed AFTER click should be written to fail; fix by moving it before. Comment the lesson.</t>
  </si>
  <si>
    <t xml:space="preserve">classic flake</t>
  </si>
  <si>
    <t xml:space="preserve">ok when ordered</t>
  </si>
  <si>
    <t xml:space="preserve">timing</t>
  </si>
  <si>
    <t xml:space="preserve">M-070</t>
  </si>
  <si>
    <t xml:space="preserve">M-070.spec.js</t>
  </si>
  <si>
    <t xml:space="preserve">net-mode-slow. Assert status goes loading then ok. Use toPass. No waitForTimeout.</t>
  </si>
  <si>
    <t xml:space="preserve">1800ms</t>
  </si>
  <si>
    <t xml:space="preserve">toPass</t>
  </si>
  <si>
    <t xml:space="preserve">ok after</t>
  </si>
  <si>
    <t xml:space="preserve">slow</t>
  </si>
  <si>
    <t xml:space="preserve">M-071</t>
  </si>
  <si>
    <t xml:space="preserve">M-071.spec.js</t>
  </si>
  <si>
    <t xml:space="preserve">Assert heartbeat still increments during a slow search (networkidle would hang).</t>
  </si>
  <si>
    <t xml:space="preserve">2s tick</t>
  </si>
  <si>
    <t xml:space="preserve">tick grew</t>
  </si>
  <si>
    <t xml:space="preserve">heartbeat</t>
  </si>
  <si>
    <t xml:space="preserve">M-072</t>
  </si>
  <si>
    <t xml:space="preserve">M-072.spec.js</t>
  </si>
  <si>
    <t xml:space="preserve">Drive three queries from data/net-cases.json via route.fulfill payloads.</t>
  </si>
  <si>
    <t xml:space="preserve">matrix</t>
  </si>
  <si>
    <t xml:space="preserve">JSON matrix</t>
  </si>
  <si>
    <t xml:space="preserve">data/net-cases.json</t>
  </si>
  <si>
    <t xml:space="preserve">M-073</t>
  </si>
  <si>
    <t xml:space="preserve">M-073.spec.js</t>
  </si>
  <si>
    <t xml:space="preserve">Log in once in this spec, context.storageState() to playwright/.auth/maker.json. Second test.use that file and assert desk without typing password. May be two tests in ONE file if needed — exception to 1-assert style.</t>
  </si>
  <si>
    <t xml:space="preserve">storageState</t>
  </si>
  <si>
    <t xml:space="preserve">storageState path</t>
  </si>
  <si>
    <t xml:space="preserve">desk visible</t>
  </si>
  <si>
    <t xml:space="preserve">playwright/.auth/maker.json</t>
  </si>
  <si>
    <t xml:space="preserve">M-074</t>
  </si>
  <si>
    <t xml:space="preserve">M-074.spec.js</t>
  </si>
  <si>
    <t xml:space="preserve">test.use storageState empty cookies/origins. Session page shows login, not desk.</t>
  </si>
  <si>
    <t xml:space="preserve">logged-out spec</t>
  </si>
  <si>
    <t xml:space="preserve">test.use</t>
  </si>
  <si>
    <t xml:space="preserve">login-panel</t>
  </si>
  <si>
    <t xml:space="preserve">reset storage</t>
  </si>
  <si>
    <t xml:space="preserve">M-075</t>
  </si>
  <si>
    <t xml:space="preserve">M-075.spec.js</t>
  </si>
  <si>
    <t xml:space="preserve">Login maker, open popup, check invoice-approve, send note. Popup out note sent. Opener still shows desk.</t>
  </si>
  <si>
    <t xml:space="preserve">opener</t>
  </si>
  <si>
    <t xml:space="preserve">both pages</t>
  </si>
  <si>
    <t xml:space="preserve">popup note</t>
  </si>
  <si>
    <t xml:space="preserve">M-076</t>
  </si>
  <si>
    <t xml:space="preserve">M-076.spec.js</t>
  </si>
  <si>
    <t xml:space="preserve">clock.install before goto. Login. fastForward 5min+1s. idle-dialog visible. No waitForTimeout.</t>
  </si>
  <si>
    <t xml:space="preserve">Date.now based idle</t>
  </si>
  <si>
    <t xml:space="preserve">page.clock</t>
  </si>
  <si>
    <t xml:space="preserve">warning</t>
  </si>
  <si>
    <t xml:space="preserve">clock</t>
  </si>
  <si>
    <t xml:space="preserve">M-077</t>
  </si>
  <si>
    <t xml:space="preserve">M-077.spec.js</t>
  </si>
  <si>
    <t xml:space="preserve">When idle-dialog showing, idle-continue. idle-out continued. Dialog gone.</t>
  </si>
  <si>
    <t xml:space="preserve">stay signed in</t>
  </si>
  <si>
    <t xml:space="preserve">idle-continue</t>
  </si>
  <si>
    <t xml:space="preserve">continued</t>
  </si>
  <si>
    <t xml:space="preserve">idle continue</t>
  </si>
  <si>
    <t xml:space="preserve">M-078</t>
  </si>
  <si>
    <t xml:space="preserve">M-078.spec.js</t>
  </si>
  <si>
    <t xml:space="preserve">Idle warning then idle-leave. Lands on login-panel.</t>
  </si>
  <si>
    <t xml:space="preserve">sign out path</t>
  </si>
  <si>
    <t xml:space="preserve">idle-leave</t>
  </si>
  <si>
    <t xml:space="preserve">idle leave</t>
  </si>
  <si>
    <t xml:space="preserve">M-079</t>
  </si>
  <si>
    <t xml:space="preserve">M-079.spec.js</t>
  </si>
  <si>
    <t xml:space="preserve">Login asha/asha-pass. Role maker. invoices still load.</t>
  </si>
  <si>
    <t xml:space="preserve">third user</t>
  </si>
  <si>
    <t xml:space="preserve">asha-pass</t>
  </si>
  <si>
    <t xml:space="preserve">INV-</t>
  </si>
  <si>
    <t xml:space="preserve">third account</t>
  </si>
  <si>
    <t xml:space="preserve">M-080</t>
  </si>
  <si>
    <t xml:space="preserve">M-080.spec.js</t>
  </si>
  <si>
    <t xml:space="preserve">Call /api/me via request fixture with no cookie → 401. Then UI login and /api/me 200.</t>
  </si>
  <si>
    <t xml:space="preserve">API+UI</t>
  </si>
  <si>
    <t xml:space="preserve">request.get</t>
  </si>
  <si>
    <t xml:space="preserve">401 then 200</t>
  </si>
  <si>
    <t xml:space="preserve">request fixture</t>
  </si>
  <si>
    <t xml:space="preserve">M-081</t>
  </si>
  <si>
    <t xml:space="preserve">M-081.spec.js</t>
  </si>
  <si>
    <t xml:space="preserve">Two roles in data/auth.xlsx: loop login/logout asserting name+role each time.</t>
  </si>
  <si>
    <t xml:space="preserve">readXlsx</t>
  </si>
  <si>
    <t xml:space="preserve">both rows</t>
  </si>
  <si>
    <t xml:space="preserve">xlsx roles</t>
  </si>
  <si>
    <t xml:space="preserve">data/auth.xlsx</t>
  </si>
  <si>
    <t xml:space="preserve">M-082</t>
  </si>
  <si>
    <t xml:space="preserve">M-082.spec.js</t>
  </si>
  <si>
    <t xml:space="preserve">Paste 482193 into otp-0 only (clipboard event or grant+paste). All six boxes filled. otp-out code 482193.</t>
  </si>
  <si>
    <t xml:space="preserve">paste handler</t>
  </si>
  <si>
    <t xml:space="preserve">ClipboardEvent or keyboard</t>
  </si>
  <si>
    <t xml:space="preserve">six boxes</t>
  </si>
  <si>
    <t xml:space="preserve">OTP paste</t>
  </si>
  <si>
    <t xml:space="preserve">M-083</t>
  </si>
  <si>
    <t xml:space="preserve">M-083.spec.js</t>
  </si>
  <si>
    <t xml:space="preserve">Filter combo to Bus and pick Busan via getByRole option only (no testid on option).</t>
  </si>
  <si>
    <t xml:space="preserve">chose Busan</t>
  </si>
  <si>
    <t xml:space="preserve">combobox role</t>
  </si>
  <si>
    <t xml:space="preserve">M-084</t>
  </si>
  <si>
    <t xml:space="preserve">M-084.spec.js</t>
  </si>
  <si>
    <t xml:space="preserve">Add all three chips then remove APAC only. chip-out is EMEA,AMER or AMER,EMEA.</t>
  </si>
  <si>
    <t xml:space="preserve">name not index</t>
  </si>
  <si>
    <t xml:space="preserve">Remove APAC</t>
  </si>
  <si>
    <t xml:space="preserve">two left</t>
  </si>
  <si>
    <t xml:space="preserve">chip remove</t>
  </si>
  <si>
    <t xml:space="preserve">M-085</t>
  </si>
  <si>
    <t xml:space="preserve">M-085.spec.js</t>
  </si>
  <si>
    <t xml:space="preserve">Wizard: name+lane, finish. wiz-out created name/lane. Back from step 3 keeps lane value.</t>
  </si>
  <si>
    <t xml:space="preserve">hash state</t>
  </si>
  <si>
    <t xml:space="preserve">wiz-back-3</t>
  </si>
  <si>
    <t xml:space="preserve">value kept</t>
  </si>
  <si>
    <t xml:space="preserve">wizard state</t>
  </si>
  <si>
    <t xml:space="preserve">M-086</t>
  </si>
  <si>
    <t xml:space="preserve">M-086.spec.js</t>
  </si>
  <si>
    <t xml:space="preserve">Deep-link by goto /pages/widgets.html#step-3. Step 3 visible. Summary may be empty until prior steps filled — assert hash handling.</t>
  </si>
  <si>
    <t xml:space="preserve">direct hash</t>
  </si>
  <si>
    <t xml:space="preserve">step 3 shown</t>
  </si>
  <si>
    <t xml:space="preserve">hash deep link</t>
  </si>
  <si>
    <t xml:space="preserve">M-087</t>
  </si>
  <si>
    <t xml:space="preserve">M-087.spec.js</t>
  </si>
  <si>
    <t xml:space="preserve">combo list disappears on outside click. aria-expanded false.</t>
  </si>
  <si>
    <t xml:space="preserve">close</t>
  </si>
  <si>
    <t xml:space="preserve">click page</t>
  </si>
  <si>
    <t xml:space="preserve">closed</t>
  </si>
  <si>
    <t xml:space="preserve">combo close</t>
  </si>
  <si>
    <t xml:space="preserve">M-088</t>
  </si>
  <si>
    <t xml:space="preserve">M-088.spec.js</t>
  </si>
  <si>
    <t xml:space="preserve">OTP backspace on empty box 3 focuses box 2.</t>
  </si>
  <si>
    <t xml:space="preserve">keydown</t>
  </si>
  <si>
    <t xml:space="preserve">otp-2</t>
  </si>
  <si>
    <t xml:space="preserve">focus move</t>
  </si>
  <si>
    <t xml:space="preserve">OTP keys</t>
  </si>
  <si>
    <t xml:space="preserve">M-089</t>
  </si>
  <si>
    <t xml:space="preserve">M-089.spec.js</t>
  </si>
  <si>
    <t xml:space="preserve">getByRole('button',{name:'Export'}) clicks the default half, not the chevron. export-out export csv.</t>
  </si>
  <si>
    <t xml:space="preserve">same prefix</t>
  </si>
  <si>
    <t xml:space="preserve">exact name</t>
  </si>
  <si>
    <t xml:space="preserve">csv</t>
  </si>
  <si>
    <t xml:space="preserve">split a11y</t>
  </si>
  <si>
    <t xml:space="preserve">M-090</t>
  </si>
  <si>
    <t xml:space="preserve">M-090.spec.js</t>
  </si>
  <si>
    <t xml:space="preserve">Drive wizard names from data/wizard.json.</t>
  </si>
  <si>
    <t xml:space="preserve">data</t>
  </si>
  <si>
    <t xml:space="preserve">created line</t>
  </si>
  <si>
    <t xml:space="preserve">JSON</t>
  </si>
  <si>
    <t xml:space="preserve">data/wizard.json</t>
  </si>
  <si>
    <t xml:space="preserve">M-091</t>
  </si>
  <si>
    <t xml:space="preserve">M-091.spec.js</t>
  </si>
  <si>
    <t xml:space="preserve">Parent card-number count 0 AND frame count 1. Both asserts.</t>
  </si>
  <si>
    <t xml:space="preserve">boundary</t>
  </si>
  <si>
    <t xml:space="preserve">0 and 1</t>
  </si>
  <si>
    <t xml:space="preserve">M-092</t>
  </si>
  <si>
    <t xml:space="preserve">M-092.spec.js</t>
  </si>
  <si>
    <t xml:space="preserve">Tokenise 4000000000000002. pay-out last4=0002.</t>
  </si>
  <si>
    <t xml:space="preserve">different PAN</t>
  </si>
  <si>
    <t xml:space="preserve">card-pay</t>
  </si>
  <si>
    <t xml:space="preserve">0002</t>
  </si>
  <si>
    <t xml:space="preserve">M-093</t>
  </si>
  <si>
    <t xml:space="preserve">M-093.spec.js</t>
  </si>
  <si>
    <t xml:space="preserve">sandbox-alert: page dialog event must NOT fire. Then ping works.</t>
  </si>
  <si>
    <t xml:space="preserve">no allow-modals</t>
  </si>
  <si>
    <t xml:space="preserve">page.once dialog should not run</t>
  </si>
  <si>
    <t xml:space="preserve">no dialog</t>
  </si>
  <si>
    <t xml:space="preserve">sandbox alert</t>
  </si>
  <si>
    <t xml:space="preserve">M-094</t>
  </si>
  <si>
    <t xml:space="preserve">M-094.spec.js</t>
  </si>
  <si>
    <t xml:space="preserve">Without geolocation grant, geo-ask shows denied (or no fix). With grant+coords, shows coords. Two tests or two steps.</t>
  </si>
  <si>
    <t xml:space="preserve">permissions off vs on</t>
  </si>
  <si>
    <t xml:space="preserve">denied then coords</t>
  </si>
  <si>
    <t xml:space="preserve">geo matrix</t>
  </si>
  <si>
    <t xml:space="preserve">M-095</t>
  </si>
  <si>
    <t xml:space="preserve">M-095.spec.js</t>
  </si>
  <si>
    <t xml:space="preserve">clip-write copies gym-clip-* token. Read via navigator.clipboard in evaluate after grant. Match clip-out.</t>
  </si>
  <si>
    <t xml:space="preserve">clipboard verify</t>
  </si>
  <si>
    <t xml:space="preserve">M-096</t>
  </si>
  <si>
    <t xml:space="preserve">M-096.spec.js</t>
  </si>
  <si>
    <t xml:space="preserve">Wrong widget URL (localhost:4173/frames/pay-widget.html) is SAME origin — skip if you cannot bind; instead assert iframe src contains 127.0.0.1.</t>
  </si>
  <si>
    <t xml:space="preserve">src</t>
  </si>
  <si>
    <t xml:space="preserve">getAttribute src</t>
  </si>
  <si>
    <t xml:space="preserve">127.0.0.1</t>
  </si>
  <si>
    <t xml:space="preserve">src origin</t>
  </si>
  <si>
    <t xml:space="preserve">M-097</t>
  </si>
  <si>
    <t xml:space="preserve">M-097.spec.js</t>
  </si>
  <si>
    <t xml:space="preserve">Fill card fields using only getByLabel inside the frame (Card number, Expiry, CVC).</t>
  </si>
  <si>
    <t xml:space="preserve">labels in widget</t>
  </si>
  <si>
    <t xml:space="preserve">getByLabel</t>
  </si>
  <si>
    <t xml:space="preserve">frame labels</t>
  </si>
  <si>
    <t xml:space="preserve">M-098</t>
  </si>
  <si>
    <t xml:space="preserve">M-098.spec.js</t>
  </si>
  <si>
    <t xml:space="preserve">request.post /api/token with number 4242… from the spec (no UI). Assert token last4. Then optionally show UI.</t>
  </si>
  <si>
    <t xml:space="preserve">API first</t>
  </si>
  <si>
    <t xml:space="preserve">request.post</t>
  </si>
  <si>
    <t xml:space="preserve">last4</t>
  </si>
  <si>
    <t xml:space="preserve">request token</t>
  </si>
  <si>
    <t xml:space="preserve">M-099</t>
  </si>
  <si>
    <t xml:space="preserve">Fixtures</t>
  </si>
  <si>
    <t xml:space="preserve">M-099.spec.js</t>
  </si>
  <si>
    <t xml:space="preserve">Extend openGym(path,{xray,hideTestids}) to toggle the two sidebar flags.</t>
  </si>
  <si>
    <t xml:space="preserve">v2 toggles</t>
  </si>
  <si>
    <t xml:space="preserve">both flags work</t>
  </si>
  <si>
    <t xml:space="preserve">fixture options</t>
  </si>
  <si>
    <t xml:space="preserve">M-100</t>
  </si>
  <si>
    <t xml:space="preserve">M-100.spec.js</t>
  </si>
  <si>
    <t xml:space="preserve">downloads.js unique dir per test; use it when saving invoice-less blob downloads from files.html.</t>
  </si>
  <si>
    <t xml:space="preserve">testInfo</t>
  </si>
  <si>
    <t xml:space="preserve">no collide</t>
  </si>
  <si>
    <t xml:space="preserve">download fixture</t>
  </si>
  <si>
    <t xml:space="preserve">T-001</t>
  </si>
  <si>
    <t xml:space="preserve">Tough</t>
  </si>
  <si>
    <t xml:space="preserve">T-001.spec.js</t>
  </si>
  <si>
    <t xml:space="preserve">Fill real depth-4 deep-input without selector strings containing depth-2 or depth-4. Click deep-confirm. Relay set.</t>
  </si>
  <si>
    <t xml:space="preserve">titles/nth/src</t>
  </si>
  <si>
    <t xml:space="preserve">frameLocator iframe nth</t>
  </si>
  <si>
    <t xml:space="preserve">ambiguous frames</t>
  </si>
  <si>
    <t xml:space="preserve">T-002</t>
  </si>
  <si>
    <t xml:space="preserve">T-002.spec.js</t>
  </si>
  <si>
    <t xml:space="preserve">Innermost deep-confirm is inside shadow in frame 4. Click it after fill using role or host, not a guessed css piercing.</t>
  </si>
  <si>
    <t xml:space="preserve">level-4 shadow</t>
  </si>
  <si>
    <t xml:space="preserve">frame chain then getByRole</t>
  </si>
  <si>
    <t xml:space="preserve">T-003</t>
  </si>
  <si>
    <t xml:space="preserve">T-003.spec.js</t>
  </si>
  <si>
    <t xml:space="preserve">All sibling panel-tag values unique including injected and shadow-hosted.</t>
  </si>
  <si>
    <t xml:space="preserve">five panels</t>
  </si>
  <si>
    <t xml:space="preserve">frameLocator each</t>
  </si>
  <si>
    <t xml:space="preserve">unique set</t>
  </si>
  <si>
    <t xml:space="preserve">siblings</t>
  </si>
  <si>
    <t xml:space="preserve">T-004</t>
  </si>
  <si>
    <t xml:space="preserve">T-004.spec.js</t>
  </si>
  <si>
    <t xml:space="preserve">Fill depth 4 using ONLY positional frameLocator('iframe').nth chain.</t>
  </si>
  <si>
    <t xml:space="preserve">no ids</t>
  </si>
  <si>
    <t xml:space="preserve">nth frames</t>
  </si>
  <si>
    <t xml:space="preserve">T-005</t>
  </si>
  <si>
    <t xml:space="preserve">T-005.spec.js</t>
  </si>
  <si>
    <t xml:space="preserve">Prove a locator that stops at depth 1 passes fill but relay empty — attach screenshot of both locators highlighted if possible.</t>
  </si>
  <si>
    <t xml:space="preserve">highlight optional</t>
  </si>
  <si>
    <t xml:space="preserve">relay empty vs filled</t>
  </si>
  <si>
    <t xml:space="preserve">evidence</t>
  </si>
  <si>
    <t xml:space="preserve">T-006</t>
  </si>
  <si>
    <t xml:space="preserve">T-006.spec.js</t>
  </si>
  <si>
    <t xml:space="preserve">srcdoc click twice and late-frame fill in ONE spec with test.step.</t>
  </si>
  <si>
    <t xml:space="preserve">two frame types</t>
  </si>
  <si>
    <t xml:space="preserve">both pass</t>
  </si>
  <si>
    <t xml:space="preserve">T-007</t>
  </si>
  <si>
    <t xml:space="preserve">T-007.spec.js</t>
  </si>
  <si>
    <t xml:space="preserve">Helper helpers/frames.js depth4(page). Use it here and in one other spec (comment the reuse).</t>
  </si>
  <si>
    <t xml:space="preserve">DRY</t>
  </si>
  <si>
    <t xml:space="preserve">helper</t>
  </si>
  <si>
    <t xml:space="preserve">helpers/frames.js</t>
  </si>
  <si>
    <t xml:space="preserve">T-008</t>
  </si>
  <si>
    <t xml:space="preserve">T-008.spec.js</t>
  </si>
  <si>
    <t xml:space="preserve">Table-cell frames: read all three site tags JP/EU/US if present; at least osaka JP-W2.</t>
  </si>
  <si>
    <t xml:space="preserve">data-site</t>
  </si>
  <si>
    <t xml:space="preserve">table frames</t>
  </si>
  <si>
    <t xml:space="preserve">T-009</t>
  </si>
  <si>
    <t xml:space="preserve">T-009.spec.js</t>
  </si>
  <si>
    <t xml:space="preserve">Locator vs ElementHandle: click detach-go. locator text Replacement; handle isConnected false.</t>
  </si>
  <si>
    <t xml:space="preserve">stale handle</t>
  </si>
  <si>
    <t xml:space="preserve">elementHandle</t>
  </si>
  <si>
    <t xml:space="preserve">stale</t>
  </si>
  <si>
    <t xml:space="preserve">T-010</t>
  </si>
  <si>
    <t xml:space="preserve">T-010.spec.js</t>
  </si>
  <si>
    <t xml:space="preserve">Click canvas at offset {x:70,y:45}. canvas-out Accept.</t>
  </si>
  <si>
    <t xml:space="preserve">painted target</t>
  </si>
  <si>
    <t xml:space="preserve">click position</t>
  </si>
  <si>
    <t xml:space="preserve">Accept</t>
  </si>
  <si>
    <t xml:space="preserve">canvas</t>
  </si>
  <si>
    <t xml:space="preserve">T-011</t>
  </si>
  <si>
    <t xml:space="preserve">T-011.spec.js</t>
  </si>
  <si>
    <t xml:space="preserve">SVG APAC click. svg-out typeof className = object.</t>
  </si>
  <si>
    <t xml:space="preserve">className not string</t>
  </si>
  <si>
    <t xml:space="preserve">data-region</t>
  </si>
  <si>
    <t xml:space="preserve">object</t>
  </si>
  <si>
    <t xml:space="preserve">SVG</t>
  </si>
  <si>
    <t xml:space="preserve">T-012</t>
  </si>
  <si>
    <t xml:space="preserve">T-012.spec.js</t>
  </si>
  <si>
    <t xml:space="preserve">prop-input fill changed. getAttribute value still initial; toHaveValue changed.</t>
  </si>
  <si>
    <t xml:space="preserve">attr vs prop</t>
  </si>
  <si>
    <t xml:space="preserve">getAttribute vs toHaveValue</t>
  </si>
  <si>
    <t xml:space="preserve">property</t>
  </si>
  <si>
    <t xml:space="preserve">T-013</t>
  </si>
  <si>
    <t xml:space="preserve">T-013.spec.js</t>
  </si>
  <si>
    <t xml:space="preserve">stateful button two clicks. evaluate orderState name picked step 2.</t>
  </si>
  <si>
    <t xml:space="preserve">object state</t>
  </si>
  <si>
    <t xml:space="preserve">picked/2</t>
  </si>
  <si>
    <t xml:space="preserve">JS state</t>
  </si>
  <si>
    <t xml:space="preserve">T-014</t>
  </si>
  <si>
    <t xml:space="preserve">T-014.spec.js</t>
  </si>
  <si>
    <t xml:space="preserve">inv-display/visibility/size hidden; inv-opacity visible. Document the surprise.</t>
  </si>
  <si>
    <t xml:space="preserve">five invisibilities</t>
  </si>
  <si>
    <t xml:space="preserve">toBeHidden/Visible</t>
  </si>
  <si>
    <t xml:space="preserve">opacity visible</t>
  </si>
  <si>
    <t xml:space="preserve">T-015</t>
  </si>
  <si>
    <t xml:space="preserve">T-015.spec.js</t>
  </si>
  <si>
    <t xml:space="preserve">moving-button click without extra wait. mover-out caught at.</t>
  </si>
  <si>
    <t xml:space="preserve">actionability</t>
  </si>
  <si>
    <t xml:space="preserve">click</t>
  </si>
  <si>
    <t xml:space="preserve">caught</t>
  </si>
  <si>
    <t xml:space="preserve">moving</t>
  </si>
  <si>
    <t xml:space="preserve">T-016</t>
  </si>
  <si>
    <t xml:space="preserve">T-016.spec.js</t>
  </si>
  <si>
    <t xml:space="preserve">Spawn temp node, visible, then detached within 8s. No sleep.</t>
  </si>
  <si>
    <t xml:space="preserve">temp-node</t>
  </si>
  <si>
    <t xml:space="preserve">toBeVisible then toHaveCount 0</t>
  </si>
  <si>
    <t xml:space="preserve">detached</t>
  </si>
  <si>
    <t xml:space="preserve">self-destruct</t>
  </si>
  <si>
    <t xml:space="preserve">T-017</t>
  </si>
  <si>
    <t xml:space="preserve">T-017.spec.js</t>
  </si>
  <si>
    <t xml:space="preserve">Reset every gym-panel via element method after submit. Every history array empty.</t>
  </si>
  <si>
    <t xml:space="preserve">component API</t>
  </si>
  <si>
    <t xml:space="preserve">evaluate reset</t>
  </si>
  <si>
    <t xml:space="preserve">histories []</t>
  </si>
  <si>
    <t xml:space="preserve">reset API</t>
  </si>
  <si>
    <t xml:space="preserve">T-018</t>
  </si>
  <si>
    <t xml:space="preserve">T-018.spec.js</t>
  </si>
  <si>
    <t xml:space="preserve">setCode on gym-sealed. Light DOM text unchanged. getCode matches.</t>
  </si>
  <si>
    <t xml:space="preserve">no light change</t>
  </si>
  <si>
    <t xml:space="preserve">sealed</t>
  </si>
  <si>
    <t xml:space="preserve">T-019</t>
  </si>
  <si>
    <t xml:space="preserve">T-019.spec.js</t>
  </si>
  <si>
    <t xml:space="preserve">Set panel.value via evaluate. Attribute value still null. history length 1.</t>
  </si>
  <si>
    <t xml:space="preserve">no attr mirror</t>
  </si>
  <si>
    <t xml:space="preserve">null + history</t>
  </si>
  <si>
    <t xml:space="preserve">props</t>
  </si>
  <si>
    <t xml:space="preserve">T-020</t>
  </si>
  <si>
    <t xml:space="preserve">T-020.spec.js</t>
  </si>
  <si>
    <t xml:space="preserve">querySelectorAll deep-shadow-input is 0; Playwright locator finds it. Both asserts.</t>
  </si>
  <si>
    <t xml:space="preserve">boundaries</t>
  </si>
  <si>
    <t xml:space="preserve">evaluate vs locator</t>
  </si>
  <si>
    <t xml:space="preserve">0 vs 1</t>
  </si>
  <si>
    <t xml:space="preserve">pierce</t>
  </si>
  <si>
    <t xml:space="preserve">T-021</t>
  </si>
  <si>
    <t xml:space="preserve">T-021.spec.js</t>
  </si>
  <si>
    <t xml:space="preserve">Three hosts same testid: using getByTestId('shadow-input').nth(1) is banned — use host code attribute.</t>
  </si>
  <si>
    <t xml:space="preserve">no nth</t>
  </si>
  <si>
    <t xml:space="preserve">host locator</t>
  </si>
  <si>
    <t xml:space="preserve">correct relay</t>
  </si>
  <si>
    <t xml:space="preserve">anti-nth</t>
  </si>
  <si>
    <t xml:space="preserve">T-022</t>
  </si>
  <si>
    <t xml:space="preserve">T-022.spec.js</t>
  </si>
  <si>
    <t xml:space="preserve">Helper helpers/shadow.js panel(page,code). Use on FR-W3.</t>
  </si>
  <si>
    <t xml:space="preserve">helpers/shadow.js</t>
  </si>
  <si>
    <t xml:space="preserve">T-023</t>
  </si>
  <si>
    <t xml:space="preserve">T-023.spec.js</t>
  </si>
  <si>
    <t xml:space="preserve">Live table: poll a cell without pause first (flakey by design) then pause and assert stable. Contrast in test.step.</t>
  </si>
  <si>
    <t xml:space="preserve">feed</t>
  </si>
  <si>
    <t xml:space="preserve">poll then pause</t>
  </si>
  <si>
    <t xml:space="preserve">stable after pause</t>
  </si>
  <si>
    <t xml:space="preserve">live flake</t>
  </si>
  <si>
    <t xml:space="preserve">T-024</t>
  </si>
  <si>
    <t xml:space="preserve">T-024.spec.js</t>
  </si>
  <si>
    <t xml:space="preserve">div-grid: act by ARIA role row/gridcell not table tags.</t>
  </si>
  <si>
    <t xml:space="preserve">no table</t>
  </si>
  <si>
    <t xml:space="preserve">getByRole</t>
  </si>
  <si>
    <t xml:space="preserve">action works</t>
  </si>
  <si>
    <t xml:space="preserve">ARIA grid</t>
  </si>
  <si>
    <t xml:space="preserve">T-025</t>
  </si>
  <si>
    <t xml:space="preserve">T-025.spec.js</t>
  </si>
  <si>
    <t xml:space="preserve">Data-driven filter+status from data/table-matrix.xlsx.</t>
  </si>
  <si>
    <t xml:space="preserve">all rows</t>
  </si>
  <si>
    <t xml:space="preserve">xlsx</t>
  </si>
  <si>
    <t xml:space="preserve">data/table-matrix.xlsx</t>
  </si>
  <si>
    <t xml:space="preserve">T-026</t>
  </si>
  <si>
    <t xml:space="preserve">T-026.spec.js</t>
  </si>
  <si>
    <t xml:space="preserve">Edit quota from data/edits.json commit Enter.</t>
  </si>
  <si>
    <t xml:space="preserve">new text</t>
  </si>
  <si>
    <t xml:space="preserve">JSON edit</t>
  </si>
  <si>
    <t xml:space="preserve">data/edits.json</t>
  </si>
  <si>
    <t xml:space="preserve">T-027</t>
  </si>
  <si>
    <t xml:space="preserve">T-027.spec.js</t>
  </si>
  <si>
    <t xml:space="preserve">Select-all indeterminate when one row selected. Property not attribute.</t>
  </si>
  <si>
    <t xml:space="preserve">select-all</t>
  </si>
  <si>
    <t xml:space="preserve">checkbox</t>
  </si>
  <si>
    <t xml:space="preserve">T-028</t>
  </si>
  <si>
    <t xml:space="preserve">T-028.spec.js</t>
  </si>
  <si>
    <t xml:space="preserve">After delete+filter+sort, assert foot-weight still equals visible sum.</t>
  </si>
  <si>
    <t xml:space="preserve">compound</t>
  </si>
  <si>
    <t xml:space="preserve">footer integrity</t>
  </si>
  <si>
    <t xml:space="preserve">T-029</t>
  </si>
  <si>
    <t xml:space="preserve">T-029.spec.js</t>
  </si>
  <si>
    <t xml:space="preserve">Drill six months back with cal-prev only, pick the 1st, no data-date.</t>
  </si>
  <si>
    <t xml:space="preserve">challenge</t>
  </si>
  <si>
    <t xml:space="preserve">cal-prev</t>
  </si>
  <si>
    <t xml:space="preserve">value month-6-01</t>
  </si>
  <si>
    <t xml:space="preserve">drill prev</t>
  </si>
  <si>
    <t xml:space="preserve">T-030</t>
  </si>
  <si>
    <t xml:space="preserve">T-030.spec.js</t>
  </si>
  <si>
    <t xml:space="preserve">Range crossing month + range-clear + rebuild from data/bookings.xlsx.</t>
  </si>
  <si>
    <t xml:space="preserve">expectedDays</t>
  </si>
  <si>
    <t xml:space="preserve">xlsx range</t>
  </si>
  <si>
    <t xml:space="preserve">data/bookings.xlsx</t>
  </si>
  <si>
    <t xml:space="preserve">T-031</t>
  </si>
  <si>
    <t xml:space="preserve">T-031.spec.js</t>
  </si>
  <si>
    <t xml:space="preserve">Blocked min/max: click a date outside bounds if present; out unchanged.</t>
  </si>
  <si>
    <t xml:space="preserve">bounds</t>
  </si>
  <si>
    <t xml:space="preserve">unchanged</t>
  </si>
  <si>
    <t xml:space="preserve">T-032</t>
  </si>
  <si>
    <t xml:space="preserve">T-032.spec.js</t>
  </si>
  <si>
    <t xml:space="preserve">Frame calendar + parent out in one test.step with popup calendar on parent.</t>
  </si>
  <si>
    <t xml:space="preserve">two widgets</t>
  </si>
  <si>
    <t xml:space="preserve">both dates</t>
  </si>
  <si>
    <t xml:space="preserve">combo cal</t>
  </si>
  <si>
    <t xml:space="preserve">T-033</t>
  </si>
  <si>
    <t xml:space="preserve">T-033.spec.js</t>
  </si>
  <si>
    <t xml:space="preserve">Round-trip: download shipments.csv, saveAs, upload that path to upload-csv, accepted.</t>
  </si>
  <si>
    <t xml:space="preserve">disk</t>
  </si>
  <si>
    <t xml:space="preserve">download.path</t>
  </si>
  <si>
    <t xml:space="preserve">accepted</t>
  </si>
  <si>
    <t xml:space="preserve">T-034</t>
  </si>
  <si>
    <t xml:space="preserve">T-034.spec.js</t>
  </si>
  <si>
    <t xml:space="preserve">Drop payload.exe AND readme.txt together. Only txt accepted; out mentions rejected exe.</t>
  </si>
  <si>
    <t xml:space="preserve">DataTransfer</t>
  </si>
  <si>
    <t xml:space="preserve">split result</t>
  </si>
  <si>
    <t xml:space="preserve">mixed drop</t>
  </si>
  <si>
    <t xml:space="preserve">T-035</t>
  </si>
  <si>
    <t xml:space="preserve">T-035.spec.js</t>
  </si>
  <si>
    <t xml:space="preserve">Progress start, assert upload-success visible (timeout 15s) without cancel.</t>
  </si>
  <si>
    <t xml:space="preserve">2.4s</t>
  </si>
  <si>
    <t xml:space="preserve">success</t>
  </si>
  <si>
    <t xml:space="preserve">progress</t>
  </si>
  <si>
    <t xml:space="preserve">T-036</t>
  </si>
  <si>
    <t xml:space="preserve">T-036.spec.js</t>
  </si>
  <si>
    <t xml:space="preserve">download-zip magic bytes PK via fs.readFile on saveAs path.</t>
  </si>
  <si>
    <t xml:space="preserve">zip</t>
  </si>
  <si>
    <t xml:space="preserve">readFile</t>
  </si>
  <si>
    <t xml:space="preserve">PK</t>
  </si>
  <si>
    <t xml:space="preserve">bytes</t>
  </si>
  <si>
    <t xml:space="preserve">T-037</t>
  </si>
  <si>
    <t xml:space="preserve">T-037.spec.js</t>
  </si>
  <si>
    <t xml:space="preserve">Matrix data/files-matrix.xlsx surfaces vs expect.</t>
  </si>
  <si>
    <t xml:space="preserve">all</t>
  </si>
  <si>
    <t xml:space="preserve">xlsx files</t>
  </si>
  <si>
    <t xml:space="preserve">data/files-matrix.xlsx</t>
  </si>
  <si>
    <t xml:space="preserve">T-038</t>
  </si>
  <si>
    <t xml:space="preserve">T-038.spec.js</t>
  </si>
  <si>
    <t xml:space="preserve">Never two exclusive panels open during a 10-click shuffle.</t>
  </si>
  <si>
    <t xml:space="preserve">always 1</t>
  </si>
  <si>
    <t xml:space="preserve">shuffle</t>
  </si>
  <si>
    <t xml:space="preserve">T-039</t>
  </si>
  <si>
    <t xml:space="preserve">T-039.spec.js</t>
  </si>
  <si>
    <t xml:space="preserve">Frame accordion save ingest.internal and assert :8443 in out (port default).</t>
  </si>
  <si>
    <t xml:space="preserve">tour</t>
  </si>
  <si>
    <t xml:space="preserve">host:port</t>
  </si>
  <si>
    <t xml:space="preserve">frame save</t>
  </si>
  <si>
    <t xml:space="preserve">T-040</t>
  </si>
  <si>
    <t xml:space="preserve">T-040.spec.js</t>
  </si>
  <si>
    <t xml:space="preserve">Helper acc.js openNativeDeep used here.</t>
  </si>
  <si>
    <t xml:space="preserve">helpers/acc.js</t>
  </si>
  <si>
    <t xml:space="preserve">T-041</t>
  </si>
  <si>
    <t xml:space="preserve">T-041.spec.js</t>
  </si>
  <si>
    <t xml:space="preserve">Split header + exclusive + lazy in one journey test.step pack.</t>
  </si>
  <si>
    <t xml:space="preserve">combo</t>
  </si>
  <si>
    <t xml:space="preserve">journey</t>
  </si>
  <si>
    <t xml:space="preserve">T-042</t>
  </si>
  <si>
    <t xml:space="preserve">T-042.spec.js</t>
  </si>
  <si>
    <t xml:space="preserve">Awkward pack from data/awkward.json: keystroke, mask, trim in one spec.</t>
  </si>
  <si>
    <t xml:space="preserve">three asserts</t>
  </si>
  <si>
    <t xml:space="preserve">data/awkward.json</t>
  </si>
  <si>
    <t xml:space="preserve">T-043</t>
  </si>
  <si>
    <t xml:space="preserve">T-043.spec.js</t>
  </si>
  <si>
    <t xml:space="preserve">Dependent select: pick a country whose cities differ; assert previous city cleared or disabled mid-fetch.</t>
  </si>
  <si>
    <t xml:space="preserve">async</t>
  </si>
  <si>
    <t xml:space="preserve">city changes</t>
  </si>
  <si>
    <t xml:space="preserve">dependent</t>
  </si>
  <si>
    <t xml:space="preserve">T-044</t>
  </si>
  <si>
    <t xml:space="preserve">T-044.spec.js</t>
  </si>
  <si>
    <t xml:space="preserve">Dialog pack from data/dialogs.json: alert/confirm/prompt.</t>
  </si>
  <si>
    <t xml:space="preserve">all three outs</t>
  </si>
  <si>
    <t xml:space="preserve">dialogs</t>
  </si>
  <si>
    <t xml:space="preserve">data/dialogs.json</t>
  </si>
  <si>
    <t xml:space="preserve">T-045</t>
  </si>
  <si>
    <t xml:space="preserve">T-045.spec.js</t>
  </si>
  <si>
    <t xml:space="preserve">aria-disabled stays blocked even with force — assert out blocked. If force clicks through, assert published and note the lesson.</t>
  </si>
  <si>
    <t xml:space="preserve">documented</t>
  </si>
  <si>
    <t xml:space="preserve">T-046</t>
  </si>
  <si>
    <t xml:space="preserve">T-046.spec.js</t>
  </si>
  <si>
    <t xml:space="preserve">Unscoped getByRole('button',{name:'Save'}) with dialog open: expect a strict-mode error. Then scoped click succeeds.</t>
  </si>
  <si>
    <t xml:space="preserve">interview classic</t>
  </si>
  <si>
    <t xml:space="preserve">rejects.toThrow / toHaveCount</t>
  </si>
  <si>
    <t xml:space="preserve">scoped works</t>
  </si>
  <si>
    <t xml:space="preserve">strict Save</t>
  </si>
  <si>
    <t xml:space="preserve">T-047</t>
  </si>
  <si>
    <t xml:space="preserve">T-047.spec.js</t>
  </si>
  <si>
    <t xml:space="preserve">Cookie banner is also role=dialog. Open invoice dialog without accepting first — two dialogs. Disambiguate by name.</t>
  </si>
  <si>
    <t xml:space="preserve">two dialogs</t>
  </si>
  <si>
    <t xml:space="preserve">getByRole name</t>
  </si>
  <si>
    <t xml:space="preserve">invoice saved or banner named</t>
  </si>
  <si>
    <t xml:space="preserve">dialog filter</t>
  </si>
  <si>
    <t xml:space="preserve">T-048</t>
  </si>
  <si>
    <t xml:space="preserve">T-048.spec.js</t>
  </si>
  <si>
    <t xml:space="preserve">Focus trap: Tab stays inside invoice-dialog while open. Sample a few Tabs and assert activeElement inside dialog via evaluate.</t>
  </si>
  <si>
    <t xml:space="preserve">keyboard.press Tab</t>
  </si>
  <si>
    <t xml:space="preserve">inside</t>
  </si>
  <si>
    <t xml:space="preserve">focus trap</t>
  </si>
  <si>
    <t xml:space="preserve">T-049</t>
  </si>
  <si>
    <t xml:space="preserve">T-049.spec.js</t>
  </si>
  <si>
    <t xml:space="preserve">Clear gym.consent, reload, banner back. Prove worker isolation if you forgot clear — write beforeEach in fixture.</t>
  </si>
  <si>
    <t xml:space="preserve">pollution</t>
  </si>
  <si>
    <t xml:space="preserve">beforeEach</t>
  </si>
  <si>
    <t xml:space="preserve">banner visible</t>
  </si>
  <si>
    <t xml:space="preserve">fixture hygiene</t>
  </si>
  <si>
    <t xml:space="preserve">T-050</t>
  </si>
  <si>
    <t xml:space="preserve">T-050.spec.js</t>
  </si>
  <si>
    <t xml:space="preserve">Toast roles all status: getByRole('status') count when three pushed. Target last by text Gateway 500.</t>
  </si>
  <si>
    <t xml:space="preserve">same role</t>
  </si>
  <si>
    <t xml:space="preserve">error toast</t>
  </si>
  <si>
    <t xml:space="preserve">status role</t>
  </si>
  <si>
    <t xml:space="preserve">T-051</t>
  </si>
  <si>
    <t xml:space="preserve">T-051.spec.js</t>
  </si>
  <si>
    <t xml:space="preserve">Click page Save while sticky chrome overlaps theoretically — still page out. No force.</t>
  </si>
  <si>
    <t xml:space="preserve">saved from page</t>
  </si>
  <si>
    <t xml:space="preserve">no force</t>
  </si>
  <si>
    <t xml:space="preserve">T-052</t>
  </si>
  <si>
    <t xml:space="preserve">T-052.spec.js</t>
  </si>
  <si>
    <t xml:space="preserve">Esc closes dialog even if focus is on dialog-ref input.</t>
  </si>
  <si>
    <t xml:space="preserve">press Escape</t>
  </si>
  <si>
    <t xml:space="preserve">escape out</t>
  </si>
  <si>
    <t xml:space="preserve">Esc focus</t>
  </si>
  <si>
    <t xml:space="preserve">T-053</t>
  </si>
  <si>
    <t xml:space="preserve">T-053.spec.js</t>
  </si>
  <si>
    <t xml:space="preserve">Journey: accept cookies, toast-ok, open dialog, save INV-9999 (edit ref), Esc no longer needed. Attach trace on fail.</t>
  </si>
  <si>
    <t xml:space="preserve">saved INV-9999</t>
  </si>
  <si>
    <t xml:space="preserve">T-054</t>
  </si>
  <si>
    <t xml:space="preserve">T-054.spec.js</t>
  </si>
  <si>
    <t xml:space="preserve">Find SHP-1000 (first) and SHP-9999 (near last) in one spec by scrolling both directions.</t>
  </si>
  <si>
    <t xml:space="preserve">ends</t>
  </si>
  <si>
    <t xml:space="preserve">scrollTop 0 and max</t>
  </si>
  <si>
    <t xml:space="preserve">both mounted at different times</t>
  </si>
  <si>
    <t xml:space="preserve">two ends</t>
  </si>
  <si>
    <t xml:space="preserve">T-055</t>
  </si>
  <si>
    <t xml:space="preserve">T-055.spec.js</t>
  </si>
  <si>
    <t xml:space="preserve">A/B on: data-ref still on inner row. Do not click nth virt-row. Use data-ref.</t>
  </si>
  <si>
    <t xml:space="preserve">wrapper</t>
  </si>
  <si>
    <t xml:space="preserve">works in b</t>
  </si>
  <si>
    <t xml:space="preserve">A/B key</t>
  </si>
  <si>
    <t xml:space="preserve">T-056</t>
  </si>
  <si>
    <t xml:space="preserve">T-056.spec.js</t>
  </si>
  <si>
    <t xml:space="preserve">Skeletons share virt-row: locator.filter({ hasNot: page.locator('[data-ref]') }) or hasAttribute check. Count 4 on load state.</t>
  </si>
  <si>
    <t xml:space="preserve">filter hasNot</t>
  </si>
  <si>
    <t xml:space="preserve">locator.filter</t>
  </si>
  <si>
    <t xml:space="preserve">4 skels</t>
  </si>
  <si>
    <t xml:space="preserve">T-057</t>
  </si>
  <si>
    <t xml:space="preserve">T-057.spec.js</t>
  </si>
  <si>
    <t xml:space="preserve">Measure mounted count before and after a large scroll; they should stay roughly constant (window size), not grow to 10k.</t>
  </si>
  <si>
    <t xml:space="preserve">windowing</t>
  </si>
  <si>
    <t xml:space="preserve">evaluate count</t>
  </si>
  <si>
    <t xml:space="preserve">bounded</t>
  </si>
  <si>
    <t xml:space="preserve">window size</t>
  </si>
  <si>
    <t xml:space="preserve">T-058</t>
  </si>
  <si>
    <t xml:space="preserve">T-058.spec.js</t>
  </si>
  <si>
    <t xml:space="preserve">xlsx virt cases: term + mustSeeRef. Scroll/filter until mustSeeRef mounts.</t>
  </si>
  <si>
    <t xml:space="preserve">xlsx virt</t>
  </si>
  <si>
    <t xml:space="preserve">data/virt-matrix.xlsx</t>
  </si>
  <si>
    <t xml:space="preserve">T-059</t>
  </si>
  <si>
    <t xml:space="preserve">T-059.spec.js</t>
  </si>
  <si>
    <t xml:space="preserve">Do not use getByText('SHP-9800') before scroll — assert count 0 then jump.</t>
  </si>
  <si>
    <t xml:space="preserve">false confidence</t>
  </si>
  <si>
    <t xml:space="preserve">0 then 1</t>
  </si>
  <si>
    <t xml:space="preserve">text vs mount</t>
  </si>
  <si>
    <t xml:space="preserve">T-060</t>
  </si>
  <si>
    <t xml:space="preserve">T-060.spec.js</t>
  </si>
  <si>
    <t xml:space="preserve">state-box loading virt-row vs board virt-row: scope locators to state-box or virt-viewport explicitly.</t>
  </si>
  <si>
    <t xml:space="preserve">two trees</t>
  </si>
  <si>
    <t xml:space="preserve">locator scope</t>
  </si>
  <si>
    <t xml:space="preserve">no cross talk</t>
  </si>
  <si>
    <t xml:space="preserve">T-061</t>
  </si>
  <si>
    <t xml:space="preserve">T-061.spec.js</t>
  </si>
  <si>
    <t xml:space="preserve">After filter Hamburg, scroll container to end. Still only Hamburg refs.</t>
  </si>
  <si>
    <t xml:space="preserve">filter+scroll</t>
  </si>
  <si>
    <t xml:space="preserve">data-ref prefix check</t>
  </si>
  <si>
    <t xml:space="preserve">all Hamburg dest</t>
  </si>
  <si>
    <t xml:space="preserve">integrity</t>
  </si>
  <si>
    <t xml:space="preserve">T-062</t>
  </si>
  <si>
    <t xml:space="preserve">T-062.spec.js</t>
  </si>
  <si>
    <t xml:space="preserve">Register route AFTER goto and show first search may escape to real API. Then register before and mock. Document flake.</t>
  </si>
  <si>
    <t xml:space="preserve">order</t>
  </si>
  <si>
    <t xml:space="preserve">route timing</t>
  </si>
  <si>
    <t xml:space="preserve">too-late route</t>
  </si>
  <si>
    <t xml:space="preserve">T-063</t>
  </si>
  <si>
    <t xml:space="preserve">T-063.spec.js</t>
  </si>
  <si>
    <t xml:space="preserve">Fulfill from data/shipments.json-like payload built in spec. Rows render exactly that list.</t>
  </si>
  <si>
    <t xml:space="preserve">offline UI</t>
  </si>
  <si>
    <t xml:space="preserve">exact refs</t>
  </si>
  <si>
    <t xml:space="preserve">fixture payload</t>
  </si>
  <si>
    <t xml:space="preserve">data/net-payload.json</t>
  </si>
  <si>
    <t xml:space="preserve">T-064</t>
  </si>
  <si>
    <t xml:space="preserve">T-064.spec.js</t>
  </si>
  <si>
    <t xml:space="preserve">Abort heartbeat only, keep search real. Search still works; heart may stall.</t>
  </si>
  <si>
    <t xml:space="preserve">selective route</t>
  </si>
  <si>
    <t xml:space="preserve">route abort heartbeat</t>
  </si>
  <si>
    <t xml:space="preserve">search ok</t>
  </si>
  <si>
    <t xml:space="preserve">partial mock</t>
  </si>
  <si>
    <t xml:space="preserve">T-065</t>
  </si>
  <si>
    <t xml:space="preserve">T-065.spec.js</t>
  </si>
  <si>
    <t xml:space="preserve">toHaveURL not relevant; assert request method GET and url includes q=Busan via waitForRequest.</t>
  </si>
  <si>
    <t xml:space="preserve">waitForRequest</t>
  </si>
  <si>
    <t xml:space="preserve">url predicate</t>
  </si>
  <si>
    <t xml:space="preserve">q=Busan</t>
  </si>
  <si>
    <t xml:space="preserve">T-066</t>
  </si>
  <si>
    <t xml:space="preserve">T-066.spec.js</t>
  </si>
  <si>
    <t xml:space="preserve">Slow fulfill (your own 2s in route handler) vs page mode=slow. One spec. Prefer route.</t>
  </si>
  <si>
    <t xml:space="preserve">control time</t>
  </si>
  <si>
    <t xml:space="preserve">route delay</t>
  </si>
  <si>
    <t xml:space="preserve">loading then ok</t>
  </si>
  <si>
    <t xml:space="preserve">slow fulfill</t>
  </si>
  <si>
    <t xml:space="preserve">T-067</t>
  </si>
  <si>
    <t xml:space="preserve">T-067.spec.js</t>
  </si>
  <si>
    <t xml:space="preserve">Never networkidle: write a spec that uses waitForLoadState('networkidle') with a short timeout and expect it to fail/hang; catch and replace with locator wait.</t>
  </si>
  <si>
    <t xml:space="preserve">teaching</t>
  </si>
  <si>
    <t xml:space="preserve">timeout 1s</t>
  </si>
  <si>
    <t xml:space="preserve">fails then fixed</t>
  </si>
  <si>
    <t xml:space="preserve">anti-pattern</t>
  </si>
  <si>
    <t xml:space="preserve">T-068</t>
  </si>
  <si>
    <t xml:space="preserve">T-068.spec.js</t>
  </si>
  <si>
    <t xml:space="preserve">Context.route so a popup would also be mocked (even if unused). Search still mocked.</t>
  </si>
  <si>
    <t xml:space="preserve">context.route</t>
  </si>
  <si>
    <t xml:space="preserve">context route</t>
  </si>
  <si>
    <t xml:space="preserve">T-069</t>
  </si>
  <si>
    <t xml:space="preserve">T-069.spec.js</t>
  </si>
  <si>
    <t xml:space="preserve">xlsx net-matrix: q, mode or fulfill, expectedText.</t>
  </si>
  <si>
    <t xml:space="preserve">xlsx net</t>
  </si>
  <si>
    <t xml:space="preserve">data/net-matrix.xlsx</t>
  </si>
  <si>
    <t xml:space="preserve">T-070</t>
  </si>
  <si>
    <t xml:space="preserve">T-070.spec.js</t>
  </si>
  <si>
    <t xml:space="preserve">Setup-style: login maker, write storageState. New test in same file uses it and never sees login-panel.</t>
  </si>
  <si>
    <t xml:space="preserve">two tests allowed</t>
  </si>
  <si>
    <t xml:space="preserve">storageState file</t>
  </si>
  <si>
    <t xml:space="preserve">T-071</t>
  </si>
  <si>
    <t xml:space="preserve">T-071.spec.js</t>
  </si>
  <si>
    <t xml:space="preserve">storageState maker then setStorageState empty mid-test if API available — or new context via browser fixture — prove login-panel.</t>
  </si>
  <si>
    <t xml:space="preserve">role switch</t>
  </si>
  <si>
    <t xml:space="preserve">browser.newContext</t>
  </si>
  <si>
    <t xml:space="preserve">login shown</t>
  </si>
  <si>
    <t xml:space="preserve">context switch</t>
  </si>
  <si>
    <t xml:space="preserve">T-072</t>
  </si>
  <si>
    <t xml:space="preserve">T-072.spec.js</t>
  </si>
  <si>
    <t xml:space="preserve">clock.install({time}) BEFORE goto. Login. Fast-forward 4:50 no dialog; +20s dialog. Bound the threshold.</t>
  </si>
  <si>
    <t xml:space="preserve">5 min</t>
  </si>
  <si>
    <t xml:space="preserve">fastForward twice</t>
  </si>
  <si>
    <t xml:space="preserve">appears only after 5m</t>
  </si>
  <si>
    <t xml:space="preserve">clock bound</t>
  </si>
  <si>
    <t xml:space="preserve">T-073</t>
  </si>
  <si>
    <t xml:space="preserve">T-073.spec.js</t>
  </si>
  <si>
    <t xml:space="preserve">Idle dialog is role=dialog named Session expiring — not the cookie-less page. Scope Stay signed in by role.</t>
  </si>
  <si>
    <t xml:space="preserve">dialog name</t>
  </si>
  <si>
    <t xml:space="preserve">T-074</t>
  </si>
  <si>
    <t xml:space="preserve">T-074.spec.js</t>
  </si>
  <si>
    <t xml:space="preserve">Popup + opener: after note, opener activity log or auth-out still desk. Close popup. Opener alive.</t>
  </si>
  <si>
    <t xml:space="preserve">window.open</t>
  </si>
  <si>
    <t xml:space="preserve">popup.close</t>
  </si>
  <si>
    <t xml:space="preserve">opener desk</t>
  </si>
  <si>
    <t xml:space="preserve">popup lifecycle</t>
  </si>
  <si>
    <t xml:space="preserve">T-075</t>
  </si>
  <si>
    <t xml:space="preserve">T-075.spec.js</t>
  </si>
  <si>
    <t xml:space="preserve">request.get /api/invoices without cookie 401; with storageState cookie 200.</t>
  </si>
  <si>
    <t xml:space="preserve">API auth</t>
  </si>
  <si>
    <t xml:space="preserve">request</t>
  </si>
  <si>
    <t xml:space="preserve">401/200</t>
  </si>
  <si>
    <t xml:space="preserve">request+cookie</t>
  </si>
  <si>
    <t xml:space="preserve">T-076</t>
  </si>
  <si>
    <t xml:space="preserve">T-076.spec.js</t>
  </si>
  <si>
    <t xml:space="preserve">Viewer storageState cannot be assumed different data — still sees invoices. Assert role chip viewer.</t>
  </si>
  <si>
    <t xml:space="preserve">role</t>
  </si>
  <si>
    <t xml:space="preserve">viewer state</t>
  </si>
  <si>
    <t xml:space="preserve">playwright/.auth/viewer.json</t>
  </si>
  <si>
    <t xml:space="preserve">T-077</t>
  </si>
  <si>
    <t xml:space="preserve">T-077.spec.js</t>
  </si>
  <si>
    <t xml:space="preserve">Parallel-safe unique screenshot names using testInfo.workerIndex while logging in.</t>
  </si>
  <si>
    <t xml:space="preserve">workers</t>
  </si>
  <si>
    <t xml:space="preserve">files unique</t>
  </si>
  <si>
    <t xml:space="preserve">T-078</t>
  </si>
  <si>
    <t xml:space="preserve">T-078.spec.js</t>
  </si>
  <si>
    <t xml:space="preserve">xlsx users matrix invalid+valid rows.</t>
  </si>
  <si>
    <t xml:space="preserve">reg style</t>
  </si>
  <si>
    <t xml:space="preserve">errors and success</t>
  </si>
  <si>
    <t xml:space="preserve">xlsx auth</t>
  </si>
  <si>
    <t xml:space="preserve">data/auth-matrix.xlsx</t>
  </si>
  <si>
    <t xml:space="preserve">T-079</t>
  </si>
  <si>
    <t xml:space="preserve">T-079.spec.js</t>
  </si>
  <si>
    <t xml:space="preserve">Do not use waitForTimeout for idle — if someone does, fail the review. Spec must import clock.</t>
  </si>
  <si>
    <t xml:space="preserve">ban sleep</t>
  </si>
  <si>
    <t xml:space="preserve">clock only</t>
  </si>
  <si>
    <t xml:space="preserve">T-080</t>
  </si>
  <si>
    <t xml:space="preserve">T-080.spec.js</t>
  </si>
  <si>
    <t xml:space="preserve">Paste 482193 via grant clipboard write + keyboard insert/paste into otp-0. All six values.</t>
  </si>
  <si>
    <t xml:space="preserve">real paste</t>
  </si>
  <si>
    <t xml:space="preserve">482193</t>
  </si>
  <si>
    <t xml:space="preserve">clipboard OTP</t>
  </si>
  <si>
    <t xml:space="preserve">T-081</t>
  </si>
  <si>
    <t xml:space="preserve">T-081.spec.js</t>
  </si>
  <si>
    <t xml:space="preserve">Combobox options are NOT inside the combo card — they are on body. Assert listbox attached to body.</t>
  </si>
  <si>
    <t xml:space="preserve">locator('body').getByRole('listbox')</t>
  </si>
  <si>
    <t xml:space="preserve">T-082</t>
  </si>
  <si>
    <t xml:space="preserve">T-082.spec.js</t>
  </si>
  <si>
    <t xml:space="preserve">Add 3 chips, remove by name in order AMER, EMEA, APAC. Final (none).</t>
  </si>
  <si>
    <t xml:space="preserve">Remove X</t>
  </si>
  <si>
    <t xml:space="preserve">none</t>
  </si>
  <si>
    <t xml:space="preserve">chip order</t>
  </si>
  <si>
    <t xml:space="preserve">T-083</t>
  </si>
  <si>
    <t xml:space="preserve">T-083.spec.js</t>
  </si>
  <si>
    <t xml:space="preserve">Wizard back/forward 1-2-3-2-1 preserves name.</t>
  </si>
  <si>
    <t xml:space="preserve">wiz-name value</t>
  </si>
  <si>
    <t xml:space="preserve">preserved</t>
  </si>
  <si>
    <t xml:space="preserve">T-084</t>
  </si>
  <si>
    <t xml:space="preserve">T-084.spec.js</t>
  </si>
  <si>
    <t xml:space="preserve">goto #step-2 directly, fill lane, go back to 1, name empty (not filled this session). Assert honest state.</t>
  </si>
  <si>
    <t xml:space="preserve">deep link</t>
  </si>
  <si>
    <t xml:space="preserve">name empty</t>
  </si>
  <si>
    <t xml:space="preserve">T-085</t>
  </si>
  <si>
    <t xml:space="preserve">T-085.spec.js</t>
  </si>
  <si>
    <t xml:space="preserve">Export default vs menu: two clicks two outs. Unscoped getByText Export may match both — prove exact role.</t>
  </si>
  <si>
    <t xml:space="preserve">2 then scoped</t>
  </si>
  <si>
    <t xml:space="preserve">Export collision</t>
  </si>
  <si>
    <t xml:space="preserve">T-086</t>
  </si>
  <si>
    <t xml:space="preserve">T-086.spec.js</t>
  </si>
  <si>
    <t xml:space="preserve">xlsx wizard-matrix names/lanes/expect.</t>
  </si>
  <si>
    <t xml:space="preserve">xlsx wiz</t>
  </si>
  <si>
    <t xml:space="preserve">data/wizard-matrix.xlsx</t>
  </si>
  <si>
    <t xml:space="preserve">T-087</t>
  </si>
  <si>
    <t xml:space="preserve">T-087.spec.js</t>
  </si>
  <si>
    <t xml:space="preserve">Combo type Felix and assert only Felixstowe option. Click it.</t>
  </si>
  <si>
    <t xml:space="preserve">one option</t>
  </si>
  <si>
    <t xml:space="preserve">combo filter</t>
  </si>
  <si>
    <t xml:space="preserve">T-088</t>
  </si>
  <si>
    <t xml:space="preserve">T-088.spec.js</t>
  </si>
  <si>
    <t xml:space="preserve">Tokenise inside frame then assert parent pay-out AND widget card-out both show token.</t>
  </si>
  <si>
    <t xml:space="preserve">two origins</t>
  </si>
  <si>
    <t xml:space="preserve">frame + page</t>
  </si>
  <si>
    <t xml:space="preserve">dual assert</t>
  </si>
  <si>
    <t xml:space="preserve">T-089</t>
  </si>
  <si>
    <t xml:space="preserve">T-089.spec.js</t>
  </si>
  <si>
    <t xml:space="preserve">Empty card pay → widget error card required / failed. Parent pay-out stays waiting for token.</t>
  </si>
  <si>
    <t xml:space="preserve">parent unchanged</t>
  </si>
  <si>
    <t xml:space="preserve">negative token</t>
  </si>
  <si>
    <t xml:space="preserve">T-090</t>
  </si>
  <si>
    <t xml:space="preserve">T-090.spec.js</t>
  </si>
  <si>
    <t xml:space="preserve">sandbox-alert does not emit page dialog within 1s. Use Promise.race.</t>
  </si>
  <si>
    <t xml:space="preserve">no hang</t>
  </si>
  <si>
    <t xml:space="preserve">waitForEvent dialog timeout</t>
  </si>
  <si>
    <t xml:space="preserve">T-091</t>
  </si>
  <si>
    <t xml:space="preserve">T-091.spec.js</t>
  </si>
  <si>
    <t xml:space="preserve">Geolocation Pune vs Berlin in two steps with setGeolocation updates.</t>
  </si>
  <si>
    <t xml:space="preserve">two fixes</t>
  </si>
  <si>
    <t xml:space="preserve">two strings</t>
  </si>
  <si>
    <t xml:space="preserve">geo switch</t>
  </si>
  <si>
    <t xml:space="preserve">T-092</t>
  </si>
  <si>
    <t xml:space="preserve">T-092.spec.js</t>
  </si>
  <si>
    <t xml:space="preserve">Clipboard write from spec (page.evaluate clipboard) then clip-read button. Values match.</t>
  </si>
  <si>
    <t xml:space="preserve">grant</t>
  </si>
  <si>
    <t xml:space="preserve">clipboard.writeText</t>
  </si>
  <si>
    <t xml:space="preserve">clip from spec</t>
  </si>
  <si>
    <t xml:space="preserve">T-093</t>
  </si>
  <si>
    <t xml:space="preserve">T-093.spec.js</t>
  </si>
  <si>
    <t xml:space="preserve">Iframe src uses Gym.originPort logic: parse location.port+1. Assert src port is 4174 when app is 4173.</t>
  </si>
  <si>
    <t xml:space="preserve">src URL</t>
  </si>
  <si>
    <t xml:space="preserve">4174</t>
  </si>
  <si>
    <t xml:space="preserve">port pair</t>
  </si>
  <si>
    <t xml:space="preserve">T-094</t>
  </si>
  <si>
    <t xml:space="preserve">T-094.spec.js</t>
  </si>
  <si>
    <t xml:space="preserve">request.post /api/token and UI tokenise in one spec; last4 matches both paths.</t>
  </si>
  <si>
    <t xml:space="preserve">request + frame</t>
  </si>
  <si>
    <t xml:space="preserve">same last4</t>
  </si>
  <si>
    <t xml:space="preserve">hybrid</t>
  </si>
  <si>
    <t xml:space="preserve">T-095</t>
  </si>
  <si>
    <t xml:space="preserve">T-095.spec.js</t>
  </si>
  <si>
    <t xml:space="preserve">Journey: grant geo+clipboard, ping sandbox, tokenise 4242, assert three outs. test.step.</t>
  </si>
  <si>
    <t xml:space="preserve">origin journey</t>
  </si>
  <si>
    <t xml:space="preserve">T-096</t>
  </si>
  <si>
    <t xml:space="preserve">Cross</t>
  </si>
  <si>
    <t xml:space="preserve">multiple</t>
  </si>
  <si>
    <t xml:space="preserve">T-096.spec.js</t>
  </si>
  <si>
    <t xml:space="preserve">Journey: home → overlays accept → network fulfill mock → lists jump 9800. One spec three rooms.</t>
  </si>
  <si>
    <t xml:space="preserve">v2 wing</t>
  </si>
  <si>
    <t xml:space="preserve">cross room</t>
  </si>
  <si>
    <t xml:space="preserve">T-097</t>
  </si>
  <si>
    <t xml:space="preserve">T-097.spec.js</t>
  </si>
  <si>
    <t xml:space="preserve">Journey: session login storageState → origins tokenise (still logged in, unrelated) → files exe drop.</t>
  </si>
  <si>
    <t xml:space="preserve">all pass</t>
  </si>
  <si>
    <t xml:space="preserve">cross</t>
  </si>
  <si>
    <t xml:space="preserve">T-098</t>
  </si>
  <si>
    <t xml:space="preserve">T-098.spec.js</t>
  </si>
  <si>
    <t xml:space="preserve">Build data/v2-smoke.xlsx listing room,testid,expectVisible for 09-14. Loop.</t>
  </si>
  <si>
    <t xml:space="preserve">smoke pack</t>
  </si>
  <si>
    <t xml:space="preserve">all visible</t>
  </si>
  <si>
    <t xml:space="preserve">xlsx smoke</t>
  </si>
  <si>
    <t xml:space="preserve">data/v2-smoke.xlsx</t>
  </si>
  <si>
    <t xml:space="preserve">T-099</t>
  </si>
  <si>
    <t xml:space="preserve">T-099.spec.js</t>
  </si>
  <si>
    <t xml:space="preserve">With Hide test IDs ON, complete warmup 3-1-2 using only #warmup nth (no testids available). Then turn hide off.</t>
  </si>
  <si>
    <t xml:space="preserve">v2 hide</t>
  </si>
  <si>
    <t xml:space="preserve">correct sequence</t>
  </si>
  <si>
    <t xml:space="preserve">hide + nth</t>
  </si>
  <si>
    <t xml:space="preserve">T-100</t>
  </si>
  <si>
    <t xml:space="preserve">Config</t>
  </si>
  <si>
    <t xml:space="preserve">T-100.spec.js</t>
  </si>
  <si>
    <t xml:space="preserve">Add a chromium-only project gym-v2 with permissions clipboard and geolocation so origins specs do not repeat grantPermissions. Prove one origins spec uses it.</t>
  </si>
  <si>
    <t xml:space="preserve">projects</t>
  </si>
  <si>
    <t xml:space="preserve">test.use / project use</t>
  </si>
  <si>
    <t xml:space="preserve">geo spec green</t>
  </si>
  <si>
    <t xml:space="preserve">project perms</t>
  </si>
  <si>
    <t xml:space="preserve">Kind</t>
  </si>
  <si>
    <t xml:space="preserve">Path</t>
  </si>
  <si>
    <t xml:space="preserve">What to implement</t>
  </si>
  <si>
    <t xml:space="preserve">Used by (examples)</t>
  </si>
  <si>
    <t xml:space="preserve">Fixture</t>
  </si>
  <si>
    <t xml:space="preserve">test.extend({ openGym }). openGym(path, opts?) → page after goto. Optional opts.xray toggles sidebar X-ray. Not a class.</t>
  </si>
  <si>
    <t xml:space="preserve">Almost every spec</t>
  </si>
  <si>
    <t xml:space="preserve">On failure: fullPage screenshot under test-results/screenshots/{titlePath}.png using testInfo.</t>
  </si>
  <si>
    <t xml:space="preserve">E-007, T-010, journeys</t>
  </si>
  <si>
    <t xml:space="preserve">Unique directory per test (workerIndex + sanitized title). acceptDownloads already true in config. Teardown fs.rmSync recursive.</t>
  </si>
  <si>
    <t xml:space="preserve">E-083+, M-052+, T-073+</t>
  </si>
  <si>
    <t xml:space="preserve">fixtures/testdata.js</t>
  </si>
  <si>
    <t xml:space="preserve">Worker-scoped. Preload users.json, shipments.csv, any xlsx. Expose { users, shipments, sheets }.</t>
  </si>
  <si>
    <t xml:space="preserve">M-091, T-057, T-094</t>
  </si>
  <si>
    <t xml:space="preserve">fixtures/timing.js</t>
  </si>
  <si>
    <t xml:space="preserve">Auto fixture appending start/end ISO timestamps to test-results/timing.csv.</t>
  </si>
  <si>
    <t xml:space="preserve">Helper</t>
  </si>
  <si>
    <t xml:space="preserve">helpers/readJson.js</t>
  </si>
  <si>
    <t xml:space="preserve">readJson(relPath) → object. Throw with the path if missing / invalid JSON.</t>
  </si>
  <si>
    <t xml:space="preserve">E-004, E-041, T-085</t>
  </si>
  <si>
    <t xml:space="preserve">Header row → array of objects. Trim cells. Handle CRLF. Used on gym assets/downloads/shipments.csv and on saveAs copies.</t>
  </si>
  <si>
    <t xml:space="preserve">E-005, E-048, T-075</t>
  </si>
  <si>
    <t xml:space="preserve">helpers/readXlsx.js</t>
  </si>
  <si>
    <t xml:space="preserve">exceljs preferred. First sheet to objects. Keep raw values (no date-serial surprise).</t>
  </si>
  <si>
    <t xml:space="preserve">E-006, M-048, T-094</t>
  </si>
  <si>
    <t xml:space="preserve">GYM_TODAY='2026-08-03'; BASE='http://localhost:4173'; ORIGIN_WIDGET='http://127.0.0.1:4174'; MODULES = 15 page paths.</t>
  </si>
  <si>
    <t xml:space="preserve">Setup, calendars, origins</t>
  </si>
  <si>
    <t xml:space="preserve">helpers/abs.js</t>
  </si>
  <si>
    <t xml:space="preserve">Resolve a path from repo root. Throw if missing.</t>
  </si>
  <si>
    <t xml:space="preserve">depth4(page) frameLocator chain. lateFrame(page), sibling(page, side).</t>
  </si>
  <si>
    <t xml:space="preserve">T-005+</t>
  </si>
  <si>
    <t xml:space="preserve">panel(page, code) → page.locator(`gym-panel[code="${code}"]`)</t>
  </si>
  <si>
    <t xml:space="preserve">helpers/cal.js</t>
  </si>
  <si>
    <t xml:space="preserve">openPopup(page), pickIso(page, iso). Drill helpers without data-date for tough.</t>
  </si>
  <si>
    <t xml:space="preserve">openExclusive(page, index), openNativeDeep(page).</t>
  </si>
  <si>
    <t xml:space="preserve">Data</t>
  </si>
  <si>
    <t xml:space="preserve">data/smoke.json</t>
  </si>
  <si>
    <t xml:space="preserve">{ "ok": true }</t>
  </si>
  <si>
    <t xml:space="preserve">{ "name": "Ada Lovelace", "email": "ada@example.dev" }</t>
  </si>
  <si>
    <t xml:space="preserve">data/users.json</t>
  </si>
  <si>
    <t xml:space="preserve">[{ name, email, role }] — Ada / Priya / Linus</t>
  </si>
  <si>
    <t xml:space="preserve">E-006, T-095</t>
  </si>
  <si>
    <t xml:space="preserve">data/login-users.xlsx</t>
  </si>
  <si>
    <t xml:space="preserve">name,email,role</t>
  </si>
  <si>
    <t xml:space="preserve">term,expectedMaxRows  e.g. Busan,2  Maersk,4  ZZZ,0</t>
  </si>
  <si>
    <t xml:space="preserve">data/reg-invalid.json</t>
  </si>
  <si>
    <t xml:space="preserve">Array of { field, value, expectedError }</t>
  </si>
  <si>
    <t xml:space="preserve">data/reg-matrix.xlsx</t>
  </si>
  <si>
    <t xml:space="preserve">id,username,email,role,seats,shouldPass,expectedError</t>
  </si>
  <si>
    <t xml:space="preserve">data/dates.json</t>
  </si>
  <si>
    <t xml:space="preserve">{ "booking": "2026-09-15" }</t>
  </si>
  <si>
    <t xml:space="preserve">from,to,expectedDays</t>
  </si>
  <si>
    <t xml:space="preserve">native-date/datetime/month/week/time values</t>
  </si>
  <si>
    <t xml:space="preserve">keystroke, masked digits, trim raw</t>
  </si>
  <si>
    <t xml:space="preserve">promptText: "SDET-42"</t>
  </si>
  <si>
    <t xml:space="preserve">rowKey, newQuota</t>
  </si>
  <si>
    <t xml:space="preserve">term,status,expectedMin,expectedMax</t>
  </si>
  <si>
    <t xml:space="preserve">surface,source,expect</t>
  </si>
  <si>
    <t xml:space="preserve">data/upload-manifest.xlsx</t>
  </si>
  <si>
    <t xml:space="preserve">file,expectAccepted</t>
  </si>
  <si>
    <t xml:space="preserve">data/tiny.txt</t>
  </si>
  <si>
    <t xml:space="preserve">hello gym</t>
  </si>
  <si>
    <t xml:space="preserve">depth4(page), lateFrame(page), sibling(page, side), payFrame(page) → frameLocator('[data-testid=pay-frame]').</t>
  </si>
  <si>
    <t xml:space="preserve">T frames / origins</t>
  </si>
  <si>
    <t xml:space="preserve">helpers/auth.js</t>
  </si>
  <si>
    <t xml:space="preserve">login(page, user), storage paths playwright/.auth/maker.json and viewer.json.</t>
  </si>
  <si>
    <t xml:space="preserve">M/T session</t>
  </si>
  <si>
    <t xml:space="preserve">{ maker, viewer, asha } username/password/name/role</t>
  </si>
  <si>
    <t xml:space="preserve">E session</t>
  </si>
  <si>
    <t xml:space="preserve">username,password,name,role</t>
  </si>
  <si>
    <t xml:space="preserve">M session</t>
  </si>
  <si>
    <t xml:space="preserve">username,password,shouldPass,expected</t>
  </si>
  <si>
    <t xml:space="preserve">T session</t>
  </si>
  <si>
    <t xml:space="preserve">[{q, fulfill, expect}]</t>
  </si>
  <si>
    <t xml:space="preserve">M network</t>
  </si>
  <si>
    <t xml:space="preserve">q,mode,expectedText</t>
  </si>
  <si>
    <t xml:space="preserve">T network</t>
  </si>
  <si>
    <t xml:space="preserve">term,expectedMaxMounted</t>
  </si>
  <si>
    <t xml:space="preserve">M lists</t>
  </si>
  <si>
    <t xml:space="preserve">term,mustSeeRef</t>
  </si>
  <si>
    <t xml:space="preserve">T lists</t>
  </si>
  <si>
    <t xml:space="preserve">{ name, lane }</t>
  </si>
  <si>
    <t xml:space="preserve">M widgets</t>
  </si>
  <si>
    <t xml:space="preserve">name,lane,expect</t>
  </si>
  <si>
    <t xml:space="preserve">T widgets</t>
  </si>
  <si>
    <t xml:space="preserve">room,testid,expectVisible for rooms 09-14</t>
  </si>
  <si>
    <t xml:space="preserve">T cross</t>
  </si>
  <si>
    <t xml:space="preserve">baseURL, webServer → node server.js 4173, screenshot only-on-failure, trace retain-on-failure, video retain-on-failure, actionTimeout 15s, expect.timeout 10s, project gym-chromium for daily runs.</t>
  </si>
  <si>
    <t xml:space="preserve">All</t>
  </si>
  <si>
    <t xml:space="preserve">package.json scripts</t>
  </si>
  <si>
    <t xml:space="preserve">test:easy, test:medium, test:tough, test:headed, test:ui, test:debug, test:repeat (--repeat-each=10)</t>
  </si>
  <si>
    <t xml:space="preserve">Daily</t>
  </si>
  <si>
    <t xml:space="preserve">Note</t>
  </si>
  <si>
    <t xml:space="preserve">Practice repo is a sibling of playwright-gym. webServer.command can be `node ../playwright-gym/server.js 4173`. Leave tour.spec.js alone.</t>
  </si>
  <si>
    <t xml:space="preserve">Progress — change Status on the question sheets; these formulas update</t>
  </si>
  <si>
    <t xml:space="preserve">Total</t>
  </si>
  <si>
    <t xml:space="preserve">Done %</t>
  </si>
  <si>
    <t xml:space="preserve">ALL</t>
  </si>
  <si>
    <t xml:space="preserve">Module coverage (question counts, not completion)</t>
  </si>
  <si>
    <t xml:space="preserve">Debug</t>
  </si>
  <si>
    <t xml:space="preserve">How to use</t>
  </si>
  <si>
    <t xml:space="preserve">1. Filter Status = Not started on 01 Easy and work top to bottom.
2. Mark In progress when the spec file exists. Mark Done only on a green run.
3. Stuck = you needed tour.spec.js to cheat — go back and rewrite without copying.</t>
  </si>
  <si>
    <t xml:space="preserve">Skill cluster</t>
  </si>
  <si>
    <t xml:space="preserve">Learn it on</t>
  </si>
  <si>
    <t xml:space="preserve">Then prove it on</t>
  </si>
  <si>
    <t xml:space="preserve">goto / title / heading</t>
  </si>
  <si>
    <t xml:space="preserve">E-009 Home</t>
  </si>
  <si>
    <t xml:space="preserve">E-018 loop all modules</t>
  </si>
  <si>
    <t xml:space="preserve">getByTestId / getByRole</t>
  </si>
  <si>
    <t xml:space="preserve">E-010 bench cards</t>
  </si>
  <si>
    <t xml:space="preserve">M-008 custom listbox</t>
  </si>
  <si>
    <t xml:space="preserve">fill / check / selectOption</t>
  </si>
  <si>
    <t xml:space="preserve">E-019…E-027 Controls</t>
  </si>
  <si>
    <t xml:space="preserve">T-086 dependent select</t>
  </si>
  <si>
    <t xml:space="preserve">pressSequentially / mask / trim</t>
  </si>
  <si>
    <t xml:space="preserve">M-001…M-003</t>
  </si>
  <si>
    <t xml:space="preserve">T-085 awkward pack</t>
  </si>
  <si>
    <t xml:space="preserve">dialogs + popup + toast</t>
  </si>
  <si>
    <t xml:space="preserve">E-034…E-038</t>
  </si>
  <si>
    <t xml:space="preserve">T-093 dialog pack</t>
  </si>
  <si>
    <t xml:space="preserve">web-first waits / no sleep</t>
  </si>
  <si>
    <t xml:space="preserve">E-032 delayed button</t>
  </si>
  <si>
    <t xml:space="preserve">M-022 live poll, T-049 live flake</t>
  </si>
  <si>
    <t xml:space="preserve">screenshots + report attach</t>
  </si>
  <si>
    <t xml:space="preserve">E-014, E-015, E-056</t>
  </si>
  <si>
    <t xml:space="preserve">T-010 decoy vs real, T-101 attach</t>
  </si>
  <si>
    <t xml:space="preserve">fixtures test.extend</t>
  </si>
  <si>
    <t xml:space="preserve">E-003, E-007</t>
  </si>
  <si>
    <t xml:space="preserve">T-098 options, T-099 auto</t>
  </si>
  <si>
    <t xml:space="preserve">JSON reader</t>
  </si>
  <si>
    <t xml:space="preserve">E-004, E-041, E-076</t>
  </si>
  <si>
    <t xml:space="preserve">T-067, T-085, T-095</t>
  </si>
  <si>
    <t xml:space="preserve">E-005, E-048, E-085</t>
  </si>
  <si>
    <t xml:space="preserve">T-075 generated report</t>
  </si>
  <si>
    <t xml:space="preserve">XLSX reader + matrix tests</t>
  </si>
  <si>
    <t xml:space="preserve">E-006, E-090</t>
  </si>
  <si>
    <t xml:space="preserve">T-057, T-081, T-094</t>
  </si>
  <si>
    <t xml:space="preserve">upload setInputFiles / buffer</t>
  </si>
  <si>
    <t xml:space="preserve">E-077…E-082</t>
  </si>
  <si>
    <t xml:space="preserve">T-073 two-file drop</t>
  </si>
  <si>
    <t xml:space="preserve">download waitForEvent / saveAs</t>
  </si>
  <si>
    <t xml:space="preserve">E-083…E-088</t>
  </si>
  <si>
    <t xml:space="preserve">T-079 zip magic bytes</t>
  </si>
  <si>
    <t xml:space="preserve">dropzone DataTransfer</t>
  </si>
  <si>
    <t xml:space="preserve">progress + cancel</t>
  </si>
  <si>
    <t xml:space="preserve">M-054, M-055</t>
  </si>
  <si>
    <t xml:space="preserve">T-074 isolation</t>
  </si>
  <si>
    <t xml:space="preserve">tables sort/filter/pager</t>
  </si>
  <si>
    <t xml:space="preserve">E-043…E-054</t>
  </si>
  <si>
    <t xml:space="preserve">T-051…T-060</t>
  </si>
  <si>
    <t xml:space="preserve">nth vs business key</t>
  </si>
  <si>
    <t xml:space="preserve">E-047, M-015</t>
  </si>
  <si>
    <t xml:space="preserve">every table tough</t>
  </si>
  <si>
    <t xml:space="preserve">live table poll / pause</t>
  </si>
  <si>
    <t xml:space="preserve">E-055, M-021, M-022</t>
  </si>
  <si>
    <t xml:space="preserve">T-049, T-050</t>
  </si>
  <si>
    <t xml:space="preserve">accordions hide vs destroy</t>
  </si>
  <si>
    <t xml:space="preserve">E-059, M-034, M-035</t>
  </si>
  <si>
    <t xml:space="preserve">T-078 burst click</t>
  </si>
  <si>
    <t xml:space="preserve">calendars data-date + drill</t>
  </si>
  <si>
    <t xml:space="preserve">E-067…E-075</t>
  </si>
  <si>
    <t xml:space="preserve">T-061 no data-date</t>
  </si>
  <si>
    <t xml:space="preserve">E-091…E-094</t>
  </si>
  <si>
    <t xml:space="preserve">T-001…T-014</t>
  </si>
  <si>
    <t xml:space="preserve">decoy same test id</t>
  </si>
  <si>
    <t xml:space="preserve">T-001, T-004, T-010</t>
  </si>
  <si>
    <t xml:space="preserve">hostile DOM / strict mode</t>
  </si>
  <si>
    <t xml:space="preserve">E-095, E-096</t>
  </si>
  <si>
    <t xml:space="preserve">T-015…T-030</t>
  </si>
  <si>
    <t xml:space="preserve">stale ElementHandle</t>
  </si>
  <si>
    <t xml:space="preserve">—</t>
  </si>
  <si>
    <t xml:space="preserve">canvas offset / SVG</t>
  </si>
  <si>
    <t xml:space="preserve">T-017, T-018</t>
  </si>
  <si>
    <t xml:space="preserve">open shadow + host scope</t>
  </si>
  <si>
    <t xml:space="preserve">M-081, T-031</t>
  </si>
  <si>
    <t xml:space="preserve">closed shadow API only</t>
  </si>
  <si>
    <t xml:space="preserve">M-083, M-084</t>
  </si>
  <si>
    <t xml:space="preserve">T-032, T-033</t>
  </si>
  <si>
    <t xml:space="preserve">test.step / soft assert / trace</t>
  </si>
  <si>
    <t xml:space="preserve">M-012, M-014, M-093</t>
  </si>
  <si>
    <t xml:space="preserve">cross-module journey</t>
  </si>
  <si>
    <t xml:space="preserve">Easy network→lists</t>
  </si>
  <si>
    <t xml:space="preserve">Tough Cross pack</t>
  </si>
  <si>
    <t xml:space="preserve">cookie / portal / inert</t>
  </si>
  <si>
    <t xml:space="preserve">Easy Overlays</t>
  </si>
  <si>
    <t xml:space="preserve">Tough unscoped Save</t>
  </si>
  <si>
    <t xml:space="preserve">virtual list window</t>
  </si>
  <si>
    <t xml:space="preserve">Easy Lists jump</t>
  </si>
  <si>
    <t xml:space="preserve">Tough scroll both ends</t>
  </si>
  <si>
    <t xml:space="preserve">page.route fulfill/abort</t>
  </si>
  <si>
    <t xml:space="preserve">Medium Network</t>
  </si>
  <si>
    <t xml:space="preserve">Tough too-late route</t>
  </si>
  <si>
    <t xml:space="preserve">storageState + roles</t>
  </si>
  <si>
    <t xml:space="preserve">Medium Session</t>
  </si>
  <si>
    <t xml:space="preserve">Tough maker/viewer files</t>
  </si>
  <si>
    <t xml:space="preserve">page.clock idle</t>
  </si>
  <si>
    <t xml:space="preserve">Medium Session fastForward</t>
  </si>
  <si>
    <t xml:space="preserve">Tough 4:50 vs 5:10</t>
  </si>
  <si>
    <t xml:space="preserve">popup waitForEvent</t>
  </si>
  <si>
    <t xml:space="preserve">Easy Session invoice</t>
  </si>
  <si>
    <t xml:space="preserve">Tough opener lifecycle</t>
  </si>
  <si>
    <t xml:space="preserve">combobox portal + OTP paste</t>
  </si>
  <si>
    <t xml:space="preserve">Easy Widgets</t>
  </si>
  <si>
    <t xml:space="preserve">Tough real clipboard paste</t>
  </si>
  <si>
    <t xml:space="preserve">cross-origin frame 4174</t>
  </si>
  <si>
    <t xml:space="preserve">Easy Origins count 0</t>
  </si>
  <si>
    <t xml:space="preserve">Tough API+UI token</t>
  </si>
  <si>
    <t xml:space="preserve">geolocation / clipboard perms</t>
  </si>
  <si>
    <t xml:space="preserve">Easy Origins</t>
  </si>
  <si>
    <t xml:space="preserve">Tough geo switch + project</t>
  </si>
  <si>
    <t xml:space="preserve">hide testids toggle</t>
  </si>
  <si>
    <t xml:space="preserve">Easy Home</t>
  </si>
  <si>
    <t xml:space="preserve">Tough warmup with hide on</t>
  </si>
  <si>
    <t xml:space="preserve">aria-disabled / late testid / exe drop</t>
  </si>
  <si>
    <t xml:space="preserve">Easy Controls/DOM/Files</t>
  </si>
  <si>
    <t xml:space="preserve">Medium force vs guard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</si>
</sst>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1A1A1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16324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1"/>
      <color rgb="FF1A1A1A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6324F"/>
        <bgColor rgb="FF1A1A1A"/>
      </patternFill>
    </fill>
    <fill>
      <patternFill patternType="solid">
        <fgColor rgb="FF0F5F5B"/>
        <bgColor rgb="FF1B6B4A"/>
      </patternFill>
    </fill>
    <fill>
      <patternFill patternType="solid">
        <fgColor rgb="FFB8892E"/>
        <bgColor rgb="FF878787"/>
      </patternFill>
    </fill>
    <fill>
      <patternFill patternType="solid">
        <fgColor rgb="FF1B6B4A"/>
        <bgColor rgb="FF0F5F5B"/>
      </patternFill>
    </fill>
    <fill>
      <patternFill patternType="solid">
        <fgColor rgb="FFB45309"/>
        <bgColor rgb="FF9B2C2C"/>
      </patternFill>
    </fill>
    <fill>
      <patternFill patternType="solid">
        <fgColor rgb="FF9B2C2C"/>
        <bgColor rgb="FF993366"/>
      </patternFill>
    </fill>
    <fill>
      <patternFill patternType="solid">
        <fgColor rgb="FFC6E6C6"/>
        <bgColor rgb="FFD9D9D9"/>
      </patternFill>
    </fill>
    <fill>
      <patternFill patternType="solid">
        <fgColor rgb="FFFDE68A"/>
        <bgColor rgb="FFF8EEDC"/>
      </patternFill>
    </fill>
    <fill>
      <patternFill patternType="solid">
        <fgColor rgb="FFFECACA"/>
        <bgColor rgb="FFF8E4E4"/>
      </patternFill>
    </fill>
    <fill>
      <patternFill patternType="solid">
        <fgColor rgb="FFFFFFFF"/>
        <bgColor rgb="FFF9F9F9"/>
      </patternFill>
    </fill>
    <fill>
      <patternFill patternType="solid">
        <fgColor rgb="FFE7F2ED"/>
        <bgColor rgb="FFF4F4F2"/>
      </patternFill>
    </fill>
    <fill>
      <patternFill patternType="solid">
        <fgColor rgb="FFF7F4EE"/>
        <bgColor rgb="FFF4F4F2"/>
      </patternFill>
    </fill>
    <fill>
      <patternFill patternType="solid">
        <fgColor rgb="FFF8EEDC"/>
        <bgColor rgb="FFF7F4EE"/>
      </patternFill>
    </fill>
    <fill>
      <patternFill patternType="solid">
        <fgColor rgb="FFF8E4E4"/>
        <bgColor rgb="FFF8EEDC"/>
      </patternFill>
    </fill>
    <fill>
      <patternFill patternType="solid">
        <fgColor rgb="FFF2F7F6"/>
        <bgColor rgb="FFF4F4F2"/>
      </patternFill>
    </fill>
    <fill>
      <patternFill patternType="solid">
        <fgColor rgb="FF3F4E4F"/>
        <bgColor rgb="FF5A5A5A"/>
      </patternFill>
    </fill>
    <fill>
      <patternFill patternType="solid">
        <fgColor rgb="FFF4F4F2"/>
        <bgColor rgb="FFF7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6"/>
      </left>
      <right style="thin">
        <color rgb="FFD5D0C6"/>
      </right>
      <top style="thin">
        <color rgb="FFD5D0C6"/>
      </top>
      <bottom style="thin">
        <color rgb="FFD5D0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6B4A"/>
          <bgColor rgb="FF000000"/>
        </patternFill>
      </fill>
    </dxf>
    <dxf>
      <fill>
        <patternFill patternType="solid">
          <fgColor rgb="FFF7F4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324F"/>
          <bgColor rgb="FF000000"/>
        </patternFill>
      </fill>
    </dxf>
    <dxf>
      <fill>
        <patternFill patternType="solid">
          <fgColor rgb="FFE7F2ED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>
          <bgColor rgb="FFC6E6C6"/>
        </patternFill>
      </fill>
    </dxf>
    <dxf>
      <fill>
        <patternFill>
          <bgColor rgb="FFFDE68A"/>
        </patternFill>
      </fill>
    </dxf>
    <dxf>
      <fill>
        <patternFill>
          <bgColor rgb="FFFECACA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8EEDC"/>
          <bgColor rgb="FF000000"/>
        </patternFill>
      </fill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F8E4E4"/>
          <bgColor rgb="FF000000"/>
        </patternFill>
      </fill>
    </dxf>
    <dxf>
      <fill>
        <patternFill patternType="solid">
          <fgColor rgb="FF0F5F5B"/>
          <bgColor rgb="FF000000"/>
        </patternFill>
      </fill>
    </dxf>
    <dxf>
      <fill>
        <patternFill patternType="solid">
          <fgColor rgb="FFF2F7F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B8892E"/>
      <rgbColor rgb="FF800080"/>
      <rgbColor rgb="FF1B6B4A"/>
      <rgbColor rgb="FFD5D0C6"/>
      <rgbColor rgb="FF878787"/>
      <rgbColor rgb="FF9999FF"/>
      <rgbColor rgb="FFB45309"/>
      <rgbColor rgb="FFF8EEDC"/>
      <rgbColor rgb="FFE7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5F5B"/>
      <rgbColor rgb="FF0000FF"/>
      <rgbColor rgb="FF00CCFF"/>
      <rgbColor rgb="FFF2F7F6"/>
      <rgbColor rgb="FFC6E6C6"/>
      <rgbColor rgb="FFFDE68A"/>
      <rgbColor rgb="FFF8E4E4"/>
      <rgbColor rgb="FFF7F4EE"/>
      <rgbColor rgb="FFF4F4F2"/>
      <rgbColor rgb="FFFECACA"/>
      <rgbColor rgb="FF4F81BD"/>
      <rgbColor rgb="FF33CCCC"/>
      <rgbColor rgb="FF99CC00"/>
      <rgbColor rgb="FFFFCC00"/>
      <rgbColor rgb="FFFF9900"/>
      <rgbColor rgb="FFFF6600"/>
      <rgbColor rgb="FF5A5A5A"/>
      <rgbColor rgb="FF969696"/>
      <rgbColor rgb="FF16324F"/>
      <rgbColor rgb="FF339966"/>
      <rgbColor rgb="FF003300"/>
      <rgbColor rgb="FF1A1A1A"/>
      <rgbColor rgb="FF9B2C2C"/>
      <rgbColor rgb="FF993366"/>
      <rgbColor rgb="FF333399"/>
      <rgbColor rgb="FF3F4E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Questions per module (all levels)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'05 Progress'!E11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 Progress'!$A$12:$A$31</c:f>
              <c:strCache>
                <c:ptCount val="20"/>
                <c:pt idx="0">
                  <c:v>Setup</c:v>
                </c:pt>
                <c:pt idx="1">
                  <c:v>Home</c:v>
                </c:pt>
                <c:pt idx="2">
                  <c:v>Controls</c:v>
                </c:pt>
                <c:pt idx="3">
                  <c:v>Tables</c:v>
                </c:pt>
                <c:pt idx="4">
                  <c:v>Accordions</c:v>
                </c:pt>
                <c:pt idx="5">
                  <c:v>Calendars</c:v>
                </c:pt>
                <c:pt idx="6">
                  <c:v>Files</c:v>
                </c:pt>
                <c:pt idx="7">
                  <c:v>Frames</c:v>
                </c:pt>
                <c:pt idx="8">
                  <c:v>DOM</c:v>
                </c:pt>
                <c:pt idx="9">
                  <c:v>Shadow</c:v>
                </c:pt>
                <c:pt idx="10">
                  <c:v>Overlays</c:v>
                </c:pt>
                <c:pt idx="11">
                  <c:v>Lists</c:v>
                </c:pt>
                <c:pt idx="12">
                  <c:v>Network</c:v>
                </c:pt>
                <c:pt idx="13">
                  <c:v>Session</c:v>
                </c:pt>
                <c:pt idx="14">
                  <c:v>Widgets</c:v>
                </c:pt>
                <c:pt idx="15">
                  <c:v>Origins</c:v>
                </c:pt>
                <c:pt idx="16">
                  <c:v>Fixtures</c:v>
                </c:pt>
                <c:pt idx="17">
                  <c:v>Debug</c:v>
                </c:pt>
                <c:pt idx="18">
                  <c:v>Config</c:v>
                </c:pt>
                <c:pt idx="19">
                  <c:v>Cross</c:v>
                </c:pt>
              </c:strCache>
            </c:strRef>
          </c:cat>
          <c:val>
            <c:numRef>
              <c:f>'05 Progress'!$E$12:$E$31</c:f>
              <c:numCache>
                <c:formatCode>General</c:formatCode>
                <c:ptCount val="20"/>
                <c:pt idx="0">
                  <c:v>6</c:v>
                </c:pt>
                <c:pt idx="1">
                  <c:v>9</c:v>
                </c:pt>
                <c:pt idx="2">
                  <c:v>22</c:v>
                </c:pt>
                <c:pt idx="3">
                  <c:v>21</c:v>
                </c:pt>
                <c:pt idx="4">
                  <c:v>14</c:v>
                </c:pt>
                <c:pt idx="5">
                  <c:v>14</c:v>
                </c:pt>
                <c:pt idx="6">
                  <c:v>18</c:v>
                </c:pt>
                <c:pt idx="7">
                  <c:v>16</c:v>
                </c:pt>
                <c:pt idx="8">
                  <c:v>17</c:v>
                </c:pt>
                <c:pt idx="9">
                  <c:v>13</c:v>
                </c:pt>
                <c:pt idx="10">
                  <c:v>25</c:v>
                </c:pt>
                <c:pt idx="11">
                  <c:v>24</c:v>
                </c:pt>
                <c:pt idx="12">
                  <c:v>24</c:v>
                </c:pt>
                <c:pt idx="13">
                  <c:v>26</c:v>
                </c:pt>
                <c:pt idx="14">
                  <c:v>24</c:v>
                </c:pt>
                <c:pt idx="15">
                  <c:v>21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</c:ser>
        <c:gapWidth val="150"/>
        <c:overlap val="0"/>
        <c:axId val="14466160"/>
        <c:axId val="27919967"/>
      </c:barChart>
      <c:catAx>
        <c:axId val="144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19967"/>
        <c:crosses val="autoZero"/>
        <c:auto val="1"/>
        <c:lblAlgn val="ctr"/>
        <c:lblOffset val="100"/>
        <c:noMultiLvlLbl val="0"/>
      </c:catAx>
      <c:valAx>
        <c:axId val="27919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66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16</xdr:col>
      <xdr:colOff>130320</xdr:colOff>
      <xdr:row>25</xdr:row>
      <xdr:rowOff>21960</xdr:rowOff>
    </xdr:to>
    <xdr:graphicFrame>
      <xdr:nvGraphicFramePr>
        <xdr:cNvPr id="0" name="Chart 1"/>
        <xdr:cNvGraphicFramePr/>
      </xdr:nvGraphicFramePr>
      <xdr:xfrm>
        <a:off x="5779800" y="2066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24F"/>
    <pageSetUpPr fitToPage="tru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2"/>
  </cols>
  <sheetData>
    <row r="1" customFormat="false" ht="33.75" hidden="false" customHeight="true" outlineLevel="0" collapsed="false">
      <c r="A1" s="1" t="s">
        <v>0</v>
      </c>
      <c r="B1" s="1"/>
    </row>
    <row r="2" customFormat="false" ht="33.75" hidden="false" customHeight="true" outlineLevel="0" collapsed="false">
      <c r="A2" s="2" t="s">
        <v>1</v>
      </c>
      <c r="B2" s="2"/>
    </row>
    <row r="4" customFormat="false" ht="36" hidden="false" customHeight="true" outlineLevel="0" collapsed="false">
      <c r="A4" s="3" t="s">
        <v>2</v>
      </c>
      <c r="B4" s="4" t="s">
        <v>3</v>
      </c>
    </row>
    <row r="5" customFormat="false" ht="36" hidden="false" customHeight="true" outlineLevel="0" collapsed="false">
      <c r="A5" s="3" t="s">
        <v>4</v>
      </c>
      <c r="B5" s="4" t="s">
        <v>5</v>
      </c>
    </row>
    <row r="6" customFormat="false" ht="36" hidden="false" customHeight="true" outlineLevel="0" collapsed="false">
      <c r="A6" s="3" t="s">
        <v>6</v>
      </c>
      <c r="B6" s="4" t="s">
        <v>7</v>
      </c>
    </row>
    <row r="7" customFormat="false" ht="36" hidden="false" customHeight="true" outlineLevel="0" collapsed="false">
      <c r="A7" s="3" t="s">
        <v>8</v>
      </c>
      <c r="B7" s="4" t="s">
        <v>9</v>
      </c>
    </row>
    <row r="8" customFormat="false" ht="36" hidden="false" customHeight="true" outlineLevel="0" collapsed="false">
      <c r="A8" s="3" t="s">
        <v>10</v>
      </c>
      <c r="B8" s="4" t="s">
        <v>11</v>
      </c>
    </row>
    <row r="9" customFormat="false" ht="96" hidden="false" customHeight="true" outlineLevel="0" collapsed="false">
      <c r="A9" s="3" t="s">
        <v>12</v>
      </c>
      <c r="B9" s="4" t="s">
        <v>13</v>
      </c>
    </row>
    <row r="10" customFormat="false" ht="120" hidden="false" customHeight="true" outlineLevel="0" collapsed="false">
      <c r="A10" s="3" t="s">
        <v>14</v>
      </c>
      <c r="B10" s="4" t="s">
        <v>15</v>
      </c>
    </row>
    <row r="11" customFormat="false" ht="36" hidden="false" customHeight="true" outlineLevel="0" collapsed="false">
      <c r="A11" s="3" t="s">
        <v>16</v>
      </c>
      <c r="B11" s="4" t="s">
        <v>17</v>
      </c>
    </row>
    <row r="12" customFormat="false" ht="36" hidden="false" customHeight="true" outlineLevel="0" collapsed="false">
      <c r="A12" s="3" t="s">
        <v>18</v>
      </c>
      <c r="B12" s="4" t="s">
        <v>19</v>
      </c>
    </row>
    <row r="13" customFormat="false" ht="36" hidden="false" customHeight="true" outlineLevel="0" collapsed="false">
      <c r="A13" s="3" t="s">
        <v>20</v>
      </c>
      <c r="B13" s="4" t="s">
        <v>21</v>
      </c>
    </row>
    <row r="14" customFormat="false" ht="36" hidden="false" customHeight="true" outlineLevel="0" collapsed="false">
      <c r="A14" s="3" t="s">
        <v>22</v>
      </c>
      <c r="B14" s="4" t="s">
        <v>23</v>
      </c>
    </row>
    <row r="15" customFormat="false" ht="36" hidden="false" customHeight="true" outlineLevel="0" collapsed="false">
      <c r="A15" s="3" t="s">
        <v>24</v>
      </c>
      <c r="B15" s="4" t="s">
        <v>25</v>
      </c>
    </row>
    <row r="17" customFormat="false" ht="21.75" hidden="false" customHeight="true" outlineLevel="0" collapsed="false">
      <c r="A17" s="5" t="s">
        <v>26</v>
      </c>
      <c r="B17" s="6" t="s">
        <v>27</v>
      </c>
    </row>
    <row r="19" customFormat="false" ht="15" hidden="false" customHeight="false" outlineLevel="0" collapsed="false">
      <c r="A19" s="7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9" t="s">
        <v>30</v>
      </c>
    </row>
    <row r="22" customFormat="false" ht="15" hidden="false" customHeight="false" outlineLevel="0" collapsed="false">
      <c r="A22" s="10" t="s">
        <v>31</v>
      </c>
    </row>
    <row r="23" customFormat="false" ht="15" hidden="false" customHeight="false" outlineLevel="0" collapsed="false">
      <c r="A23" s="11" t="s">
        <v>32</v>
      </c>
    </row>
    <row r="24" customFormat="false" ht="15" hidden="false" customHeight="false" outlineLevel="0" collapsed="false">
      <c r="A24" s="12" t="s">
        <v>33</v>
      </c>
    </row>
    <row r="25" customFormat="false" ht="15" hidden="false" customHeight="false" outlineLevel="0" collapsed="false">
      <c r="A25" s="1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4A"/>
    <pageSetUpPr fitToPage="tru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72"/>
    <col collapsed="false" customWidth="true" hidden="false" outlineLevel="0" max="7" min="7" style="0" width="42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4" t="s">
        <v>47</v>
      </c>
    </row>
    <row r="2" customFormat="false" ht="78" hidden="false" customHeight="true" outlineLevel="0" collapsed="false">
      <c r="A2" s="15" t="s">
        <v>48</v>
      </c>
      <c r="B2" s="16" t="s">
        <v>49</v>
      </c>
      <c r="C2" s="17" t="s">
        <v>50</v>
      </c>
      <c r="D2" s="17" t="s">
        <v>51</v>
      </c>
      <c r="E2" s="17" t="s">
        <v>52</v>
      </c>
      <c r="F2" s="17" t="s">
        <v>53</v>
      </c>
      <c r="G2" s="17" t="s">
        <v>54</v>
      </c>
      <c r="H2" s="17" t="s">
        <v>55</v>
      </c>
      <c r="I2" s="17" t="s">
        <v>56</v>
      </c>
      <c r="J2" s="17" t="s">
        <v>57</v>
      </c>
      <c r="K2" s="17" t="s">
        <v>58</v>
      </c>
      <c r="L2" s="16" t="s">
        <v>59</v>
      </c>
      <c r="M2" s="17"/>
    </row>
    <row r="3" customFormat="false" ht="78" hidden="false" customHeight="true" outlineLevel="0" collapsed="false">
      <c r="A3" s="18" t="s">
        <v>60</v>
      </c>
      <c r="B3" s="16" t="s">
        <v>49</v>
      </c>
      <c r="C3" s="19" t="s">
        <v>50</v>
      </c>
      <c r="D3" s="19" t="s">
        <v>51</v>
      </c>
      <c r="E3" s="19" t="s">
        <v>61</v>
      </c>
      <c r="F3" s="19" t="s">
        <v>62</v>
      </c>
      <c r="G3" s="19" t="s">
        <v>63</v>
      </c>
      <c r="H3" s="19" t="s">
        <v>64</v>
      </c>
      <c r="I3" s="19" t="s">
        <v>65</v>
      </c>
      <c r="J3" s="19" t="s">
        <v>66</v>
      </c>
      <c r="K3" s="19" t="s">
        <v>67</v>
      </c>
      <c r="L3" s="16" t="s">
        <v>59</v>
      </c>
      <c r="M3" s="19"/>
    </row>
    <row r="4" customFormat="false" ht="78" hidden="false" customHeight="true" outlineLevel="0" collapsed="false">
      <c r="A4" s="15" t="s">
        <v>68</v>
      </c>
      <c r="B4" s="16" t="s">
        <v>49</v>
      </c>
      <c r="C4" s="17" t="s">
        <v>50</v>
      </c>
      <c r="D4" s="17" t="s">
        <v>51</v>
      </c>
      <c r="E4" s="17" t="s">
        <v>69</v>
      </c>
      <c r="F4" s="17" t="s">
        <v>70</v>
      </c>
      <c r="G4" s="17" t="s">
        <v>71</v>
      </c>
      <c r="H4" s="17" t="s">
        <v>72</v>
      </c>
      <c r="I4" s="17" t="s">
        <v>73</v>
      </c>
      <c r="J4" s="17" t="s">
        <v>74</v>
      </c>
      <c r="K4" s="17" t="s">
        <v>75</v>
      </c>
      <c r="L4" s="16" t="s">
        <v>59</v>
      </c>
      <c r="M4" s="17"/>
    </row>
    <row r="5" customFormat="false" ht="78" hidden="false" customHeight="true" outlineLevel="0" collapsed="false">
      <c r="A5" s="18" t="s">
        <v>76</v>
      </c>
      <c r="B5" s="16" t="s">
        <v>49</v>
      </c>
      <c r="C5" s="19" t="s">
        <v>50</v>
      </c>
      <c r="D5" s="19" t="s">
        <v>51</v>
      </c>
      <c r="E5" s="19" t="s">
        <v>77</v>
      </c>
      <c r="F5" s="19" t="s">
        <v>78</v>
      </c>
      <c r="G5" s="19" t="s">
        <v>79</v>
      </c>
      <c r="H5" s="19" t="s">
        <v>80</v>
      </c>
      <c r="I5" s="19" t="s">
        <v>81</v>
      </c>
      <c r="J5" s="19" t="s">
        <v>82</v>
      </c>
      <c r="K5" s="19" t="s">
        <v>83</v>
      </c>
      <c r="L5" s="16" t="s">
        <v>59</v>
      </c>
      <c r="M5" s="19"/>
    </row>
    <row r="6" customFormat="false" ht="78" hidden="false" customHeight="true" outlineLevel="0" collapsed="false">
      <c r="A6" s="15" t="s">
        <v>84</v>
      </c>
      <c r="B6" s="16" t="s">
        <v>49</v>
      </c>
      <c r="C6" s="17" t="s">
        <v>50</v>
      </c>
      <c r="D6" s="17" t="s">
        <v>51</v>
      </c>
      <c r="E6" s="17" t="s">
        <v>85</v>
      </c>
      <c r="F6" s="17" t="s">
        <v>86</v>
      </c>
      <c r="G6" s="17" t="s">
        <v>87</v>
      </c>
      <c r="H6" s="17" t="s">
        <v>88</v>
      </c>
      <c r="I6" s="17" t="s">
        <v>89</v>
      </c>
      <c r="J6" s="17" t="s">
        <v>90</v>
      </c>
      <c r="K6" s="17" t="s">
        <v>91</v>
      </c>
      <c r="L6" s="16" t="s">
        <v>59</v>
      </c>
      <c r="M6" s="17"/>
    </row>
    <row r="7" customFormat="false" ht="78" hidden="false" customHeight="true" outlineLevel="0" collapsed="false">
      <c r="A7" s="18" t="s">
        <v>92</v>
      </c>
      <c r="B7" s="16" t="s">
        <v>49</v>
      </c>
      <c r="C7" s="19" t="s">
        <v>50</v>
      </c>
      <c r="D7" s="19" t="s">
        <v>51</v>
      </c>
      <c r="E7" s="19" t="s">
        <v>93</v>
      </c>
      <c r="F7" s="19" t="s">
        <v>94</v>
      </c>
      <c r="G7" s="19" t="s">
        <v>95</v>
      </c>
      <c r="H7" s="19" t="s">
        <v>96</v>
      </c>
      <c r="I7" s="19" t="s">
        <v>97</v>
      </c>
      <c r="J7" s="19" t="s">
        <v>98</v>
      </c>
      <c r="K7" s="19" t="s">
        <v>96</v>
      </c>
      <c r="L7" s="16" t="s">
        <v>59</v>
      </c>
      <c r="M7" s="19"/>
    </row>
    <row r="8" customFormat="false" ht="78" hidden="false" customHeight="true" outlineLevel="0" collapsed="false">
      <c r="A8" s="15" t="s">
        <v>99</v>
      </c>
      <c r="B8" s="16" t="s">
        <v>49</v>
      </c>
      <c r="C8" s="17" t="s">
        <v>100</v>
      </c>
      <c r="D8" s="17" t="s">
        <v>101</v>
      </c>
      <c r="E8" s="17" t="s">
        <v>102</v>
      </c>
      <c r="F8" s="17" t="s">
        <v>103</v>
      </c>
      <c r="G8" s="17" t="s">
        <v>104</v>
      </c>
      <c r="H8" s="17" t="s">
        <v>105</v>
      </c>
      <c r="I8" s="17" t="s">
        <v>106</v>
      </c>
      <c r="J8" s="17" t="s">
        <v>107</v>
      </c>
      <c r="K8" s="17" t="s">
        <v>108</v>
      </c>
      <c r="L8" s="16" t="s">
        <v>59</v>
      </c>
      <c r="M8" s="17"/>
    </row>
    <row r="9" customFormat="false" ht="78" hidden="false" customHeight="true" outlineLevel="0" collapsed="false">
      <c r="A9" s="18" t="s">
        <v>109</v>
      </c>
      <c r="B9" s="16" t="s">
        <v>49</v>
      </c>
      <c r="C9" s="19" t="s">
        <v>100</v>
      </c>
      <c r="D9" s="19" t="s">
        <v>101</v>
      </c>
      <c r="E9" s="19" t="s">
        <v>110</v>
      </c>
      <c r="F9" s="19" t="s">
        <v>111</v>
      </c>
      <c r="G9" s="19" t="s">
        <v>112</v>
      </c>
      <c r="H9" s="19" t="s">
        <v>113</v>
      </c>
      <c r="I9" s="19" t="s">
        <v>114</v>
      </c>
      <c r="J9" s="19" t="s">
        <v>115</v>
      </c>
      <c r="K9" s="19" t="s">
        <v>108</v>
      </c>
      <c r="L9" s="16" t="s">
        <v>59</v>
      </c>
      <c r="M9" s="19"/>
    </row>
    <row r="10" customFormat="false" ht="78" hidden="false" customHeight="true" outlineLevel="0" collapsed="false">
      <c r="A10" s="15" t="s">
        <v>116</v>
      </c>
      <c r="B10" s="16" t="s">
        <v>49</v>
      </c>
      <c r="C10" s="17" t="s">
        <v>100</v>
      </c>
      <c r="D10" s="17" t="s">
        <v>101</v>
      </c>
      <c r="E10" s="17" t="s">
        <v>117</v>
      </c>
      <c r="F10" s="17" t="s">
        <v>118</v>
      </c>
      <c r="G10" s="17" t="s">
        <v>119</v>
      </c>
      <c r="H10" s="17" t="s">
        <v>120</v>
      </c>
      <c r="I10" s="17" t="s">
        <v>121</v>
      </c>
      <c r="J10" s="17" t="s">
        <v>122</v>
      </c>
      <c r="K10" s="17" t="s">
        <v>108</v>
      </c>
      <c r="L10" s="16" t="s">
        <v>59</v>
      </c>
      <c r="M10" s="17"/>
    </row>
    <row r="11" customFormat="false" ht="78" hidden="false" customHeight="true" outlineLevel="0" collapsed="false">
      <c r="A11" s="18" t="s">
        <v>123</v>
      </c>
      <c r="B11" s="16" t="s">
        <v>49</v>
      </c>
      <c r="C11" s="19" t="s">
        <v>100</v>
      </c>
      <c r="D11" s="19" t="s">
        <v>101</v>
      </c>
      <c r="E11" s="19" t="s">
        <v>124</v>
      </c>
      <c r="F11" s="19" t="s">
        <v>125</v>
      </c>
      <c r="G11" s="19" t="s">
        <v>126</v>
      </c>
      <c r="H11" s="19" t="s">
        <v>127</v>
      </c>
      <c r="I11" s="19" t="s">
        <v>128</v>
      </c>
      <c r="J11" s="19" t="s">
        <v>129</v>
      </c>
      <c r="K11" s="19" t="s">
        <v>108</v>
      </c>
      <c r="L11" s="16" t="s">
        <v>59</v>
      </c>
      <c r="M11" s="19"/>
    </row>
    <row r="12" customFormat="false" ht="78" hidden="false" customHeight="true" outlineLevel="0" collapsed="false">
      <c r="A12" s="15" t="s">
        <v>130</v>
      </c>
      <c r="B12" s="16" t="s">
        <v>49</v>
      </c>
      <c r="C12" s="17" t="s">
        <v>100</v>
      </c>
      <c r="D12" s="17" t="s">
        <v>101</v>
      </c>
      <c r="E12" s="17" t="s">
        <v>131</v>
      </c>
      <c r="F12" s="17" t="s">
        <v>132</v>
      </c>
      <c r="G12" s="17" t="s">
        <v>133</v>
      </c>
      <c r="H12" s="17" t="s">
        <v>134</v>
      </c>
      <c r="I12" s="17" t="s">
        <v>135</v>
      </c>
      <c r="J12" s="17" t="s">
        <v>136</v>
      </c>
      <c r="K12" s="17" t="s">
        <v>108</v>
      </c>
      <c r="L12" s="16" t="s">
        <v>59</v>
      </c>
      <c r="M12" s="17"/>
    </row>
    <row r="13" customFormat="false" ht="78" hidden="false" customHeight="true" outlineLevel="0" collapsed="false">
      <c r="A13" s="18" t="s">
        <v>137</v>
      </c>
      <c r="B13" s="16" t="s">
        <v>49</v>
      </c>
      <c r="C13" s="19" t="s">
        <v>100</v>
      </c>
      <c r="D13" s="19" t="s">
        <v>101</v>
      </c>
      <c r="E13" s="19" t="s">
        <v>138</v>
      </c>
      <c r="F13" s="19" t="s">
        <v>139</v>
      </c>
      <c r="G13" s="19" t="s">
        <v>140</v>
      </c>
      <c r="H13" s="19" t="s">
        <v>141</v>
      </c>
      <c r="I13" s="19" t="s">
        <v>142</v>
      </c>
      <c r="J13" s="19" t="s">
        <v>143</v>
      </c>
      <c r="K13" s="19" t="s">
        <v>108</v>
      </c>
      <c r="L13" s="16" t="s">
        <v>59</v>
      </c>
      <c r="M13" s="19"/>
    </row>
    <row r="14" customFormat="false" ht="78" hidden="false" customHeight="true" outlineLevel="0" collapsed="false">
      <c r="A14" s="15" t="s">
        <v>144</v>
      </c>
      <c r="B14" s="16" t="s">
        <v>49</v>
      </c>
      <c r="C14" s="17" t="s">
        <v>100</v>
      </c>
      <c r="D14" s="17" t="s">
        <v>101</v>
      </c>
      <c r="E14" s="17" t="s">
        <v>145</v>
      </c>
      <c r="F14" s="17" t="s">
        <v>146</v>
      </c>
      <c r="G14" s="17" t="s">
        <v>147</v>
      </c>
      <c r="H14" s="17" t="s">
        <v>148</v>
      </c>
      <c r="I14" s="17" t="s">
        <v>149</v>
      </c>
      <c r="J14" s="17" t="s">
        <v>150</v>
      </c>
      <c r="K14" s="17" t="s">
        <v>108</v>
      </c>
      <c r="L14" s="16" t="s">
        <v>59</v>
      </c>
      <c r="M14" s="17"/>
    </row>
    <row r="15" customFormat="false" ht="78" hidden="false" customHeight="true" outlineLevel="0" collapsed="false">
      <c r="A15" s="18" t="s">
        <v>151</v>
      </c>
      <c r="B15" s="16" t="s">
        <v>49</v>
      </c>
      <c r="C15" s="19" t="s">
        <v>100</v>
      </c>
      <c r="D15" s="19" t="s">
        <v>101</v>
      </c>
      <c r="E15" s="19" t="s">
        <v>152</v>
      </c>
      <c r="F15" s="19" t="s">
        <v>153</v>
      </c>
      <c r="G15" s="19" t="s">
        <v>154</v>
      </c>
      <c r="H15" s="19" t="s">
        <v>155</v>
      </c>
      <c r="I15" s="19" t="s">
        <v>156</v>
      </c>
      <c r="J15" s="19" t="s">
        <v>157</v>
      </c>
      <c r="K15" s="19" t="s">
        <v>75</v>
      </c>
      <c r="L15" s="16" t="s">
        <v>59</v>
      </c>
      <c r="M15" s="19"/>
    </row>
    <row r="16" customFormat="false" ht="78" hidden="false" customHeight="true" outlineLevel="0" collapsed="false">
      <c r="A16" s="15" t="s">
        <v>158</v>
      </c>
      <c r="B16" s="16" t="s">
        <v>49</v>
      </c>
      <c r="C16" s="17" t="s">
        <v>159</v>
      </c>
      <c r="D16" s="17" t="s">
        <v>160</v>
      </c>
      <c r="E16" s="17" t="s">
        <v>161</v>
      </c>
      <c r="F16" s="17" t="s">
        <v>162</v>
      </c>
      <c r="G16" s="17" t="s">
        <v>163</v>
      </c>
      <c r="H16" s="17" t="s">
        <v>164</v>
      </c>
      <c r="I16" s="17" t="s">
        <v>165</v>
      </c>
      <c r="J16" s="17" t="s">
        <v>166</v>
      </c>
      <c r="K16" s="17" t="s">
        <v>167</v>
      </c>
      <c r="L16" s="16" t="s">
        <v>59</v>
      </c>
      <c r="M16" s="17"/>
    </row>
    <row r="17" customFormat="false" ht="78" hidden="false" customHeight="true" outlineLevel="0" collapsed="false">
      <c r="A17" s="18" t="s">
        <v>168</v>
      </c>
      <c r="B17" s="16" t="s">
        <v>49</v>
      </c>
      <c r="C17" s="19" t="s">
        <v>159</v>
      </c>
      <c r="D17" s="19" t="s">
        <v>160</v>
      </c>
      <c r="E17" s="19" t="s">
        <v>169</v>
      </c>
      <c r="F17" s="19" t="s">
        <v>170</v>
      </c>
      <c r="G17" s="19" t="s">
        <v>171</v>
      </c>
      <c r="H17" s="19" t="s">
        <v>172</v>
      </c>
      <c r="I17" s="19" t="s">
        <v>173</v>
      </c>
      <c r="J17" s="19" t="s">
        <v>174</v>
      </c>
      <c r="K17" s="19" t="s">
        <v>108</v>
      </c>
      <c r="L17" s="16" t="s">
        <v>59</v>
      </c>
      <c r="M17" s="19"/>
    </row>
    <row r="18" customFormat="false" ht="78" hidden="false" customHeight="true" outlineLevel="0" collapsed="false">
      <c r="A18" s="15" t="s">
        <v>175</v>
      </c>
      <c r="B18" s="16" t="s">
        <v>49</v>
      </c>
      <c r="C18" s="17" t="s">
        <v>159</v>
      </c>
      <c r="D18" s="17" t="s">
        <v>160</v>
      </c>
      <c r="E18" s="17" t="s">
        <v>176</v>
      </c>
      <c r="F18" s="17" t="s">
        <v>177</v>
      </c>
      <c r="G18" s="17" t="s">
        <v>178</v>
      </c>
      <c r="H18" s="17" t="s">
        <v>179</v>
      </c>
      <c r="I18" s="17" t="s">
        <v>180</v>
      </c>
      <c r="J18" s="17" t="s">
        <v>181</v>
      </c>
      <c r="K18" s="17" t="s">
        <v>108</v>
      </c>
      <c r="L18" s="16" t="s">
        <v>59</v>
      </c>
      <c r="M18" s="17"/>
    </row>
    <row r="19" customFormat="false" ht="78" hidden="false" customHeight="true" outlineLevel="0" collapsed="false">
      <c r="A19" s="18" t="s">
        <v>182</v>
      </c>
      <c r="B19" s="16" t="s">
        <v>49</v>
      </c>
      <c r="C19" s="19" t="s">
        <v>159</v>
      </c>
      <c r="D19" s="19" t="s">
        <v>160</v>
      </c>
      <c r="E19" s="19" t="s">
        <v>183</v>
      </c>
      <c r="F19" s="19" t="s">
        <v>184</v>
      </c>
      <c r="G19" s="19" t="s">
        <v>185</v>
      </c>
      <c r="H19" s="19" t="s">
        <v>186</v>
      </c>
      <c r="I19" s="19" t="s">
        <v>187</v>
      </c>
      <c r="J19" s="19" t="s">
        <v>188</v>
      </c>
      <c r="K19" s="19" t="s">
        <v>108</v>
      </c>
      <c r="L19" s="16" t="s">
        <v>59</v>
      </c>
      <c r="M19" s="19"/>
    </row>
    <row r="20" customFormat="false" ht="78" hidden="false" customHeight="true" outlineLevel="0" collapsed="false">
      <c r="A20" s="15" t="s">
        <v>189</v>
      </c>
      <c r="B20" s="16" t="s">
        <v>49</v>
      </c>
      <c r="C20" s="17" t="s">
        <v>159</v>
      </c>
      <c r="D20" s="17" t="s">
        <v>160</v>
      </c>
      <c r="E20" s="17" t="s">
        <v>190</v>
      </c>
      <c r="F20" s="17" t="s">
        <v>191</v>
      </c>
      <c r="G20" s="17" t="s">
        <v>192</v>
      </c>
      <c r="H20" s="17" t="s">
        <v>193</v>
      </c>
      <c r="I20" s="17" t="s">
        <v>194</v>
      </c>
      <c r="J20" s="17" t="s">
        <v>195</v>
      </c>
      <c r="K20" s="17" t="s">
        <v>108</v>
      </c>
      <c r="L20" s="16" t="s">
        <v>59</v>
      </c>
      <c r="M20" s="17"/>
    </row>
    <row r="21" customFormat="false" ht="78" hidden="false" customHeight="true" outlineLevel="0" collapsed="false">
      <c r="A21" s="18" t="s">
        <v>196</v>
      </c>
      <c r="B21" s="16" t="s">
        <v>49</v>
      </c>
      <c r="C21" s="19" t="s">
        <v>159</v>
      </c>
      <c r="D21" s="19" t="s">
        <v>160</v>
      </c>
      <c r="E21" s="19" t="s">
        <v>197</v>
      </c>
      <c r="F21" s="19" t="s">
        <v>198</v>
      </c>
      <c r="G21" s="19" t="s">
        <v>199</v>
      </c>
      <c r="H21" s="19" t="s">
        <v>200</v>
      </c>
      <c r="I21" s="19" t="s">
        <v>201</v>
      </c>
      <c r="J21" s="19" t="s">
        <v>202</v>
      </c>
      <c r="K21" s="19" t="s">
        <v>108</v>
      </c>
      <c r="L21" s="16" t="s">
        <v>59</v>
      </c>
      <c r="M21" s="19"/>
    </row>
    <row r="22" customFormat="false" ht="78" hidden="false" customHeight="true" outlineLevel="0" collapsed="false">
      <c r="A22" s="15" t="s">
        <v>203</v>
      </c>
      <c r="B22" s="16" t="s">
        <v>49</v>
      </c>
      <c r="C22" s="17" t="s">
        <v>159</v>
      </c>
      <c r="D22" s="17" t="s">
        <v>160</v>
      </c>
      <c r="E22" s="17" t="s">
        <v>204</v>
      </c>
      <c r="F22" s="17" t="s">
        <v>205</v>
      </c>
      <c r="G22" s="17" t="s">
        <v>206</v>
      </c>
      <c r="H22" s="17" t="s">
        <v>120</v>
      </c>
      <c r="I22" s="17" t="s">
        <v>207</v>
      </c>
      <c r="J22" s="17" t="s">
        <v>208</v>
      </c>
      <c r="K22" s="17" t="s">
        <v>108</v>
      </c>
      <c r="L22" s="16" t="s">
        <v>59</v>
      </c>
      <c r="M22" s="17"/>
    </row>
    <row r="23" customFormat="false" ht="78" hidden="false" customHeight="true" outlineLevel="0" collapsed="false">
      <c r="A23" s="18" t="s">
        <v>209</v>
      </c>
      <c r="B23" s="16" t="s">
        <v>49</v>
      </c>
      <c r="C23" s="19" t="s">
        <v>159</v>
      </c>
      <c r="D23" s="19" t="s">
        <v>160</v>
      </c>
      <c r="E23" s="19" t="s">
        <v>210</v>
      </c>
      <c r="F23" s="19" t="s">
        <v>211</v>
      </c>
      <c r="G23" s="19" t="s">
        <v>212</v>
      </c>
      <c r="H23" s="19" t="s">
        <v>213</v>
      </c>
      <c r="I23" s="19" t="s">
        <v>214</v>
      </c>
      <c r="J23" s="19" t="s">
        <v>212</v>
      </c>
      <c r="K23" s="19" t="s">
        <v>108</v>
      </c>
      <c r="L23" s="16" t="s">
        <v>59</v>
      </c>
      <c r="M23" s="19"/>
    </row>
    <row r="24" customFormat="false" ht="78" hidden="false" customHeight="true" outlineLevel="0" collapsed="false">
      <c r="A24" s="15" t="s">
        <v>215</v>
      </c>
      <c r="B24" s="16" t="s">
        <v>49</v>
      </c>
      <c r="C24" s="17" t="s">
        <v>159</v>
      </c>
      <c r="D24" s="17" t="s">
        <v>160</v>
      </c>
      <c r="E24" s="17" t="s">
        <v>216</v>
      </c>
      <c r="F24" s="17" t="s">
        <v>217</v>
      </c>
      <c r="G24" s="17" t="s">
        <v>218</v>
      </c>
      <c r="H24" s="17" t="s">
        <v>219</v>
      </c>
      <c r="I24" s="17" t="s">
        <v>220</v>
      </c>
      <c r="J24" s="17" t="s">
        <v>219</v>
      </c>
      <c r="K24" s="17" t="s">
        <v>108</v>
      </c>
      <c r="L24" s="16" t="s">
        <v>59</v>
      </c>
      <c r="M24" s="17"/>
    </row>
    <row r="25" customFormat="false" ht="78" hidden="false" customHeight="true" outlineLevel="0" collapsed="false">
      <c r="A25" s="18" t="s">
        <v>221</v>
      </c>
      <c r="B25" s="16" t="s">
        <v>49</v>
      </c>
      <c r="C25" s="19" t="s">
        <v>159</v>
      </c>
      <c r="D25" s="19" t="s">
        <v>160</v>
      </c>
      <c r="E25" s="19" t="s">
        <v>222</v>
      </c>
      <c r="F25" s="19" t="s">
        <v>223</v>
      </c>
      <c r="G25" s="19" t="s">
        <v>224</v>
      </c>
      <c r="H25" s="19" t="s">
        <v>225</v>
      </c>
      <c r="I25" s="19" t="s">
        <v>226</v>
      </c>
      <c r="J25" s="19" t="s">
        <v>224</v>
      </c>
      <c r="K25" s="19" t="s">
        <v>108</v>
      </c>
      <c r="L25" s="16" t="s">
        <v>59</v>
      </c>
      <c r="M25" s="19"/>
    </row>
    <row r="26" customFormat="false" ht="78" hidden="false" customHeight="true" outlineLevel="0" collapsed="false">
      <c r="A26" s="15" t="s">
        <v>227</v>
      </c>
      <c r="B26" s="16" t="s">
        <v>49</v>
      </c>
      <c r="C26" s="17" t="s">
        <v>159</v>
      </c>
      <c r="D26" s="17" t="s">
        <v>160</v>
      </c>
      <c r="E26" s="17" t="s">
        <v>228</v>
      </c>
      <c r="F26" s="17" t="s">
        <v>229</v>
      </c>
      <c r="G26" s="17" t="s">
        <v>230</v>
      </c>
      <c r="H26" s="17" t="s">
        <v>213</v>
      </c>
      <c r="I26" s="17" t="s">
        <v>231</v>
      </c>
      <c r="J26" s="17" t="s">
        <v>225</v>
      </c>
      <c r="K26" s="17" t="s">
        <v>108</v>
      </c>
      <c r="L26" s="16" t="s">
        <v>59</v>
      </c>
      <c r="M26" s="17"/>
    </row>
    <row r="27" customFormat="false" ht="78" hidden="false" customHeight="true" outlineLevel="0" collapsed="false">
      <c r="A27" s="18" t="s">
        <v>232</v>
      </c>
      <c r="B27" s="16" t="s">
        <v>49</v>
      </c>
      <c r="C27" s="19" t="s">
        <v>233</v>
      </c>
      <c r="D27" s="19" t="s">
        <v>234</v>
      </c>
      <c r="E27" s="19" t="s">
        <v>235</v>
      </c>
      <c r="F27" s="19" t="s">
        <v>236</v>
      </c>
      <c r="G27" s="19" t="s">
        <v>237</v>
      </c>
      <c r="H27" s="19" t="s">
        <v>238</v>
      </c>
      <c r="I27" s="19" t="s">
        <v>239</v>
      </c>
      <c r="J27" s="19" t="s">
        <v>240</v>
      </c>
      <c r="K27" s="19" t="s">
        <v>108</v>
      </c>
      <c r="L27" s="16" t="s">
        <v>59</v>
      </c>
      <c r="M27" s="19"/>
    </row>
    <row r="28" customFormat="false" ht="78" hidden="false" customHeight="true" outlineLevel="0" collapsed="false">
      <c r="A28" s="15" t="s">
        <v>241</v>
      </c>
      <c r="B28" s="16" t="s">
        <v>49</v>
      </c>
      <c r="C28" s="17" t="s">
        <v>233</v>
      </c>
      <c r="D28" s="17" t="s">
        <v>234</v>
      </c>
      <c r="E28" s="17" t="s">
        <v>242</v>
      </c>
      <c r="F28" s="17" t="s">
        <v>243</v>
      </c>
      <c r="G28" s="17" t="s">
        <v>244</v>
      </c>
      <c r="H28" s="17" t="s">
        <v>245</v>
      </c>
      <c r="I28" s="17" t="s">
        <v>246</v>
      </c>
      <c r="J28" s="17" t="s">
        <v>247</v>
      </c>
      <c r="K28" s="17" t="s">
        <v>108</v>
      </c>
      <c r="L28" s="16" t="s">
        <v>59</v>
      </c>
      <c r="M28" s="17"/>
    </row>
    <row r="29" customFormat="false" ht="78" hidden="false" customHeight="true" outlineLevel="0" collapsed="false">
      <c r="A29" s="18" t="s">
        <v>248</v>
      </c>
      <c r="B29" s="16" t="s">
        <v>49</v>
      </c>
      <c r="C29" s="19" t="s">
        <v>233</v>
      </c>
      <c r="D29" s="19" t="s">
        <v>234</v>
      </c>
      <c r="E29" s="19" t="s">
        <v>249</v>
      </c>
      <c r="F29" s="19" t="s">
        <v>250</v>
      </c>
      <c r="G29" s="19" t="s">
        <v>251</v>
      </c>
      <c r="H29" s="19" t="s">
        <v>252</v>
      </c>
      <c r="I29" s="19" t="s">
        <v>253</v>
      </c>
      <c r="J29" s="19" t="s">
        <v>254</v>
      </c>
      <c r="K29" s="19" t="s">
        <v>108</v>
      </c>
      <c r="L29" s="16" t="s">
        <v>59</v>
      </c>
      <c r="M29" s="19"/>
    </row>
    <row r="30" customFormat="false" ht="78" hidden="false" customHeight="true" outlineLevel="0" collapsed="false">
      <c r="A30" s="15" t="s">
        <v>255</v>
      </c>
      <c r="B30" s="16" t="s">
        <v>49</v>
      </c>
      <c r="C30" s="17" t="s">
        <v>233</v>
      </c>
      <c r="D30" s="17" t="s">
        <v>234</v>
      </c>
      <c r="E30" s="17" t="s">
        <v>256</v>
      </c>
      <c r="F30" s="17" t="s">
        <v>257</v>
      </c>
      <c r="G30" s="17" t="s">
        <v>258</v>
      </c>
      <c r="H30" s="17" t="s">
        <v>259</v>
      </c>
      <c r="I30" s="17" t="s">
        <v>260</v>
      </c>
      <c r="J30" s="17" t="s">
        <v>261</v>
      </c>
      <c r="K30" s="17" t="s">
        <v>108</v>
      </c>
      <c r="L30" s="16" t="s">
        <v>59</v>
      </c>
      <c r="M30" s="17"/>
    </row>
    <row r="31" customFormat="false" ht="78" hidden="false" customHeight="true" outlineLevel="0" collapsed="false">
      <c r="A31" s="18" t="s">
        <v>262</v>
      </c>
      <c r="B31" s="16" t="s">
        <v>49</v>
      </c>
      <c r="C31" s="19" t="s">
        <v>233</v>
      </c>
      <c r="D31" s="19" t="s">
        <v>234</v>
      </c>
      <c r="E31" s="19" t="s">
        <v>263</v>
      </c>
      <c r="F31" s="19" t="s">
        <v>264</v>
      </c>
      <c r="G31" s="19" t="s">
        <v>265</v>
      </c>
      <c r="H31" s="19" t="s">
        <v>266</v>
      </c>
      <c r="I31" s="19" t="s">
        <v>267</v>
      </c>
      <c r="J31" s="19" t="s">
        <v>268</v>
      </c>
      <c r="K31" s="19" t="s">
        <v>108</v>
      </c>
      <c r="L31" s="16" t="s">
        <v>59</v>
      </c>
      <c r="M31" s="19"/>
    </row>
    <row r="32" customFormat="false" ht="78" hidden="false" customHeight="true" outlineLevel="0" collapsed="false">
      <c r="A32" s="15" t="s">
        <v>269</v>
      </c>
      <c r="B32" s="16" t="s">
        <v>49</v>
      </c>
      <c r="C32" s="17" t="s">
        <v>233</v>
      </c>
      <c r="D32" s="17" t="s">
        <v>234</v>
      </c>
      <c r="E32" s="17" t="s">
        <v>270</v>
      </c>
      <c r="F32" s="17" t="s">
        <v>271</v>
      </c>
      <c r="G32" s="17" t="s">
        <v>272</v>
      </c>
      <c r="H32" s="17" t="s">
        <v>273</v>
      </c>
      <c r="I32" s="17" t="s">
        <v>274</v>
      </c>
      <c r="J32" s="17" t="s">
        <v>275</v>
      </c>
      <c r="K32" s="17" t="s">
        <v>108</v>
      </c>
      <c r="L32" s="16" t="s">
        <v>59</v>
      </c>
      <c r="M32" s="17"/>
    </row>
    <row r="33" customFormat="false" ht="78" hidden="false" customHeight="true" outlineLevel="0" collapsed="false">
      <c r="A33" s="18" t="s">
        <v>276</v>
      </c>
      <c r="B33" s="16" t="s">
        <v>49</v>
      </c>
      <c r="C33" s="19" t="s">
        <v>233</v>
      </c>
      <c r="D33" s="19" t="s">
        <v>234</v>
      </c>
      <c r="E33" s="19" t="s">
        <v>277</v>
      </c>
      <c r="F33" s="19" t="s">
        <v>278</v>
      </c>
      <c r="G33" s="19" t="s">
        <v>279</v>
      </c>
      <c r="H33" s="19" t="s">
        <v>280</v>
      </c>
      <c r="I33" s="19" t="s">
        <v>281</v>
      </c>
      <c r="J33" s="19" t="s">
        <v>122</v>
      </c>
      <c r="K33" s="19" t="s">
        <v>108</v>
      </c>
      <c r="L33" s="16" t="s">
        <v>59</v>
      </c>
      <c r="M33" s="19"/>
    </row>
    <row r="34" customFormat="false" ht="78" hidden="false" customHeight="true" outlineLevel="0" collapsed="false">
      <c r="A34" s="15" t="s">
        <v>282</v>
      </c>
      <c r="B34" s="16" t="s">
        <v>49</v>
      </c>
      <c r="C34" s="17" t="s">
        <v>283</v>
      </c>
      <c r="D34" s="17" t="s">
        <v>284</v>
      </c>
      <c r="E34" s="17" t="s">
        <v>285</v>
      </c>
      <c r="F34" s="17" t="s">
        <v>286</v>
      </c>
      <c r="G34" s="17" t="s">
        <v>287</v>
      </c>
      <c r="H34" s="17" t="s">
        <v>288</v>
      </c>
      <c r="I34" s="17" t="s">
        <v>289</v>
      </c>
      <c r="J34" s="17" t="s">
        <v>287</v>
      </c>
      <c r="K34" s="17" t="s">
        <v>108</v>
      </c>
      <c r="L34" s="16" t="s">
        <v>59</v>
      </c>
      <c r="M34" s="17"/>
    </row>
    <row r="35" customFormat="false" ht="78" hidden="false" customHeight="true" outlineLevel="0" collapsed="false">
      <c r="A35" s="18" t="s">
        <v>290</v>
      </c>
      <c r="B35" s="16" t="s">
        <v>49</v>
      </c>
      <c r="C35" s="19" t="s">
        <v>283</v>
      </c>
      <c r="D35" s="19" t="s">
        <v>284</v>
      </c>
      <c r="E35" s="19" t="s">
        <v>291</v>
      </c>
      <c r="F35" s="19" t="s">
        <v>292</v>
      </c>
      <c r="G35" s="19" t="s">
        <v>293</v>
      </c>
      <c r="H35" s="19" t="s">
        <v>294</v>
      </c>
      <c r="I35" s="19" t="s">
        <v>295</v>
      </c>
      <c r="J35" s="19" t="s">
        <v>296</v>
      </c>
      <c r="K35" s="19" t="s">
        <v>108</v>
      </c>
      <c r="L35" s="16" t="s">
        <v>59</v>
      </c>
      <c r="M35" s="19"/>
    </row>
    <row r="36" customFormat="false" ht="78" hidden="false" customHeight="true" outlineLevel="0" collapsed="false">
      <c r="A36" s="15" t="s">
        <v>297</v>
      </c>
      <c r="B36" s="16" t="s">
        <v>49</v>
      </c>
      <c r="C36" s="17" t="s">
        <v>283</v>
      </c>
      <c r="D36" s="17" t="s">
        <v>284</v>
      </c>
      <c r="E36" s="17" t="s">
        <v>298</v>
      </c>
      <c r="F36" s="17" t="s">
        <v>299</v>
      </c>
      <c r="G36" s="17" t="s">
        <v>300</v>
      </c>
      <c r="H36" s="17" t="s">
        <v>301</v>
      </c>
      <c r="I36" s="17" t="s">
        <v>302</v>
      </c>
      <c r="J36" s="17" t="s">
        <v>303</v>
      </c>
      <c r="K36" s="17" t="s">
        <v>108</v>
      </c>
      <c r="L36" s="16" t="s">
        <v>59</v>
      </c>
      <c r="M36" s="17"/>
    </row>
    <row r="37" customFormat="false" ht="78" hidden="false" customHeight="true" outlineLevel="0" collapsed="false">
      <c r="A37" s="18" t="s">
        <v>304</v>
      </c>
      <c r="B37" s="16" t="s">
        <v>49</v>
      </c>
      <c r="C37" s="19" t="s">
        <v>283</v>
      </c>
      <c r="D37" s="19" t="s">
        <v>284</v>
      </c>
      <c r="E37" s="19" t="s">
        <v>305</v>
      </c>
      <c r="F37" s="19" t="s">
        <v>306</v>
      </c>
      <c r="G37" s="19" t="s">
        <v>307</v>
      </c>
      <c r="H37" s="19" t="s">
        <v>308</v>
      </c>
      <c r="I37" s="19" t="s">
        <v>309</v>
      </c>
      <c r="J37" s="19" t="s">
        <v>310</v>
      </c>
      <c r="K37" s="19" t="s">
        <v>108</v>
      </c>
      <c r="L37" s="16" t="s">
        <v>59</v>
      </c>
      <c r="M37" s="19"/>
    </row>
    <row r="38" customFormat="false" ht="78" hidden="false" customHeight="true" outlineLevel="0" collapsed="false">
      <c r="A38" s="15" t="s">
        <v>311</v>
      </c>
      <c r="B38" s="16" t="s">
        <v>49</v>
      </c>
      <c r="C38" s="17" t="s">
        <v>283</v>
      </c>
      <c r="D38" s="17" t="s">
        <v>284</v>
      </c>
      <c r="E38" s="17" t="s">
        <v>312</v>
      </c>
      <c r="F38" s="17" t="s">
        <v>313</v>
      </c>
      <c r="G38" s="17" t="s">
        <v>314</v>
      </c>
      <c r="H38" s="17" t="s">
        <v>315</v>
      </c>
      <c r="I38" s="17" t="s">
        <v>316</v>
      </c>
      <c r="J38" s="17" t="s">
        <v>317</v>
      </c>
      <c r="K38" s="17" t="s">
        <v>108</v>
      </c>
      <c r="L38" s="16" t="s">
        <v>59</v>
      </c>
      <c r="M38" s="17"/>
    </row>
    <row r="39" customFormat="false" ht="78" hidden="false" customHeight="true" outlineLevel="0" collapsed="false">
      <c r="A39" s="18" t="s">
        <v>318</v>
      </c>
      <c r="B39" s="16" t="s">
        <v>49</v>
      </c>
      <c r="C39" s="19" t="s">
        <v>319</v>
      </c>
      <c r="D39" s="19" t="s">
        <v>320</v>
      </c>
      <c r="E39" s="19" t="s">
        <v>321</v>
      </c>
      <c r="F39" s="19" t="s">
        <v>322</v>
      </c>
      <c r="G39" s="19" t="s">
        <v>323</v>
      </c>
      <c r="H39" s="19" t="s">
        <v>324</v>
      </c>
      <c r="I39" s="19" t="s">
        <v>325</v>
      </c>
      <c r="J39" s="19" t="s">
        <v>326</v>
      </c>
      <c r="K39" s="19" t="s">
        <v>91</v>
      </c>
      <c r="L39" s="16" t="s">
        <v>59</v>
      </c>
      <c r="M39" s="19"/>
    </row>
    <row r="40" customFormat="false" ht="78" hidden="false" customHeight="true" outlineLevel="0" collapsed="false">
      <c r="A40" s="15" t="s">
        <v>327</v>
      </c>
      <c r="B40" s="16" t="s">
        <v>49</v>
      </c>
      <c r="C40" s="17" t="s">
        <v>319</v>
      </c>
      <c r="D40" s="17" t="s">
        <v>320</v>
      </c>
      <c r="E40" s="17" t="s">
        <v>328</v>
      </c>
      <c r="F40" s="17" t="s">
        <v>329</v>
      </c>
      <c r="G40" s="17" t="s">
        <v>330</v>
      </c>
      <c r="H40" s="17" t="s">
        <v>331</v>
      </c>
      <c r="I40" s="17" t="s">
        <v>332</v>
      </c>
      <c r="J40" s="17" t="s">
        <v>333</v>
      </c>
      <c r="K40" s="17" t="s">
        <v>108</v>
      </c>
      <c r="L40" s="16" t="s">
        <v>59</v>
      </c>
      <c r="M40" s="17"/>
    </row>
    <row r="41" customFormat="false" ht="78" hidden="false" customHeight="true" outlineLevel="0" collapsed="false">
      <c r="A41" s="18" t="s">
        <v>334</v>
      </c>
      <c r="B41" s="16" t="s">
        <v>49</v>
      </c>
      <c r="C41" s="19" t="s">
        <v>319</v>
      </c>
      <c r="D41" s="19" t="s">
        <v>320</v>
      </c>
      <c r="E41" s="19" t="s">
        <v>335</v>
      </c>
      <c r="F41" s="19" t="s">
        <v>336</v>
      </c>
      <c r="G41" s="19" t="s">
        <v>337</v>
      </c>
      <c r="H41" s="19" t="s">
        <v>338</v>
      </c>
      <c r="I41" s="19" t="s">
        <v>325</v>
      </c>
      <c r="J41" s="19" t="s">
        <v>339</v>
      </c>
      <c r="K41" s="19" t="s">
        <v>108</v>
      </c>
      <c r="L41" s="16" t="s">
        <v>59</v>
      </c>
      <c r="M41" s="19"/>
    </row>
    <row r="42" customFormat="false" ht="78" hidden="false" customHeight="true" outlineLevel="0" collapsed="false">
      <c r="A42" s="15" t="s">
        <v>340</v>
      </c>
      <c r="B42" s="16" t="s">
        <v>49</v>
      </c>
      <c r="C42" s="17" t="s">
        <v>319</v>
      </c>
      <c r="D42" s="17" t="s">
        <v>320</v>
      </c>
      <c r="E42" s="17" t="s">
        <v>341</v>
      </c>
      <c r="F42" s="17" t="s">
        <v>342</v>
      </c>
      <c r="G42" s="17" t="s">
        <v>343</v>
      </c>
      <c r="H42" s="17" t="s">
        <v>344</v>
      </c>
      <c r="I42" s="17" t="s">
        <v>345</v>
      </c>
      <c r="J42" s="17" t="s">
        <v>346</v>
      </c>
      <c r="K42" s="17" t="s">
        <v>108</v>
      </c>
      <c r="L42" s="16" t="s">
        <v>59</v>
      </c>
      <c r="M42" s="17"/>
    </row>
    <row r="43" customFormat="false" ht="78" hidden="false" customHeight="true" outlineLevel="0" collapsed="false">
      <c r="A43" s="18" t="s">
        <v>347</v>
      </c>
      <c r="B43" s="16" t="s">
        <v>49</v>
      </c>
      <c r="C43" s="19" t="s">
        <v>319</v>
      </c>
      <c r="D43" s="19" t="s">
        <v>320</v>
      </c>
      <c r="E43" s="19" t="s">
        <v>348</v>
      </c>
      <c r="F43" s="19" t="s">
        <v>349</v>
      </c>
      <c r="G43" s="19" t="s">
        <v>90</v>
      </c>
      <c r="H43" s="19" t="s">
        <v>350</v>
      </c>
      <c r="I43" s="19" t="s">
        <v>351</v>
      </c>
      <c r="J43" s="19" t="s">
        <v>90</v>
      </c>
      <c r="K43" s="19" t="s">
        <v>91</v>
      </c>
      <c r="L43" s="16" t="s">
        <v>59</v>
      </c>
      <c r="M43" s="19"/>
    </row>
    <row r="44" customFormat="false" ht="78" hidden="false" customHeight="true" outlineLevel="0" collapsed="false">
      <c r="A44" s="15" t="s">
        <v>352</v>
      </c>
      <c r="B44" s="16" t="s">
        <v>49</v>
      </c>
      <c r="C44" s="17" t="s">
        <v>353</v>
      </c>
      <c r="D44" s="17" t="s">
        <v>354</v>
      </c>
      <c r="E44" s="17" t="s">
        <v>355</v>
      </c>
      <c r="F44" s="17" t="s">
        <v>356</v>
      </c>
      <c r="G44" s="17" t="s">
        <v>357</v>
      </c>
      <c r="H44" s="17" t="s">
        <v>358</v>
      </c>
      <c r="I44" s="17" t="s">
        <v>359</v>
      </c>
      <c r="J44" s="17" t="s">
        <v>360</v>
      </c>
      <c r="K44" s="17" t="s">
        <v>108</v>
      </c>
      <c r="L44" s="16" t="s">
        <v>59</v>
      </c>
      <c r="M44" s="17"/>
    </row>
    <row r="45" customFormat="false" ht="78" hidden="false" customHeight="true" outlineLevel="0" collapsed="false">
      <c r="A45" s="18" t="s">
        <v>361</v>
      </c>
      <c r="B45" s="16" t="s">
        <v>49</v>
      </c>
      <c r="C45" s="19" t="s">
        <v>353</v>
      </c>
      <c r="D45" s="19" t="s">
        <v>354</v>
      </c>
      <c r="E45" s="19" t="s">
        <v>362</v>
      </c>
      <c r="F45" s="19" t="s">
        <v>363</v>
      </c>
      <c r="G45" s="19" t="s">
        <v>364</v>
      </c>
      <c r="H45" s="19" t="s">
        <v>365</v>
      </c>
      <c r="I45" s="19" t="s">
        <v>366</v>
      </c>
      <c r="J45" s="19" t="s">
        <v>367</v>
      </c>
      <c r="K45" s="19" t="s">
        <v>108</v>
      </c>
      <c r="L45" s="16" t="s">
        <v>59</v>
      </c>
      <c r="M45" s="19"/>
    </row>
    <row r="46" customFormat="false" ht="78" hidden="false" customHeight="true" outlineLevel="0" collapsed="false">
      <c r="A46" s="15" t="s">
        <v>368</v>
      </c>
      <c r="B46" s="16" t="s">
        <v>49</v>
      </c>
      <c r="C46" s="17" t="s">
        <v>353</v>
      </c>
      <c r="D46" s="17" t="s">
        <v>354</v>
      </c>
      <c r="E46" s="17" t="s">
        <v>369</v>
      </c>
      <c r="F46" s="17" t="s">
        <v>370</v>
      </c>
      <c r="G46" s="17" t="s">
        <v>371</v>
      </c>
      <c r="H46" s="17" t="s">
        <v>358</v>
      </c>
      <c r="I46" s="17" t="s">
        <v>372</v>
      </c>
      <c r="J46" s="17" t="s">
        <v>373</v>
      </c>
      <c r="K46" s="17" t="s">
        <v>108</v>
      </c>
      <c r="L46" s="16" t="s">
        <v>59</v>
      </c>
      <c r="M46" s="17"/>
    </row>
    <row r="47" customFormat="false" ht="78" hidden="false" customHeight="true" outlineLevel="0" collapsed="false">
      <c r="A47" s="18" t="s">
        <v>374</v>
      </c>
      <c r="B47" s="16" t="s">
        <v>49</v>
      </c>
      <c r="C47" s="19" t="s">
        <v>353</v>
      </c>
      <c r="D47" s="19" t="s">
        <v>354</v>
      </c>
      <c r="E47" s="19" t="s">
        <v>375</v>
      </c>
      <c r="F47" s="19" t="s">
        <v>376</v>
      </c>
      <c r="G47" s="19" t="s">
        <v>377</v>
      </c>
      <c r="H47" s="19" t="s">
        <v>358</v>
      </c>
      <c r="I47" s="19" t="s">
        <v>378</v>
      </c>
      <c r="J47" s="19" t="s">
        <v>379</v>
      </c>
      <c r="K47" s="19" t="s">
        <v>108</v>
      </c>
      <c r="L47" s="16" t="s">
        <v>59</v>
      </c>
      <c r="M47" s="19"/>
    </row>
    <row r="48" customFormat="false" ht="78" hidden="false" customHeight="true" outlineLevel="0" collapsed="false">
      <c r="A48" s="15" t="s">
        <v>380</v>
      </c>
      <c r="B48" s="16" t="s">
        <v>49</v>
      </c>
      <c r="C48" s="17" t="s">
        <v>353</v>
      </c>
      <c r="D48" s="17" t="s">
        <v>354</v>
      </c>
      <c r="E48" s="17" t="s">
        <v>381</v>
      </c>
      <c r="F48" s="17" t="s">
        <v>382</v>
      </c>
      <c r="G48" s="17" t="s">
        <v>383</v>
      </c>
      <c r="H48" s="17" t="s">
        <v>384</v>
      </c>
      <c r="I48" s="17" t="s">
        <v>385</v>
      </c>
      <c r="J48" s="17" t="s">
        <v>386</v>
      </c>
      <c r="K48" s="17" t="s">
        <v>387</v>
      </c>
      <c r="L48" s="16" t="s">
        <v>59</v>
      </c>
      <c r="M48" s="17"/>
    </row>
    <row r="49" customFormat="false" ht="78" hidden="false" customHeight="true" outlineLevel="0" collapsed="false">
      <c r="A49" s="18" t="s">
        <v>388</v>
      </c>
      <c r="B49" s="16" t="s">
        <v>49</v>
      </c>
      <c r="C49" s="19" t="s">
        <v>353</v>
      </c>
      <c r="D49" s="19" t="s">
        <v>354</v>
      </c>
      <c r="E49" s="19" t="s">
        <v>389</v>
      </c>
      <c r="F49" s="19" t="s">
        <v>390</v>
      </c>
      <c r="G49" s="19" t="s">
        <v>121</v>
      </c>
      <c r="H49" s="19" t="s">
        <v>391</v>
      </c>
      <c r="I49" s="19" t="s">
        <v>392</v>
      </c>
      <c r="J49" s="19" t="s">
        <v>393</v>
      </c>
      <c r="K49" s="19" t="s">
        <v>394</v>
      </c>
      <c r="L49" s="16" t="s">
        <v>59</v>
      </c>
      <c r="M49" s="19"/>
    </row>
    <row r="50" customFormat="false" ht="78" hidden="false" customHeight="true" outlineLevel="0" collapsed="false">
      <c r="A50" s="15" t="s">
        <v>395</v>
      </c>
      <c r="B50" s="16" t="s">
        <v>49</v>
      </c>
      <c r="C50" s="17" t="s">
        <v>353</v>
      </c>
      <c r="D50" s="17" t="s">
        <v>354</v>
      </c>
      <c r="E50" s="17" t="s">
        <v>396</v>
      </c>
      <c r="F50" s="17" t="s">
        <v>397</v>
      </c>
      <c r="G50" s="17" t="s">
        <v>398</v>
      </c>
      <c r="H50" s="17" t="s">
        <v>399</v>
      </c>
      <c r="I50" s="17" t="s">
        <v>378</v>
      </c>
      <c r="J50" s="17" t="s">
        <v>400</v>
      </c>
      <c r="K50" s="17" t="s">
        <v>108</v>
      </c>
      <c r="L50" s="16" t="s">
        <v>59</v>
      </c>
      <c r="M50" s="17"/>
    </row>
    <row r="51" customFormat="false" ht="78" hidden="false" customHeight="true" outlineLevel="0" collapsed="false">
      <c r="A51" s="18" t="s">
        <v>401</v>
      </c>
      <c r="B51" s="16" t="s">
        <v>49</v>
      </c>
      <c r="C51" s="19" t="s">
        <v>402</v>
      </c>
      <c r="D51" s="19" t="s">
        <v>403</v>
      </c>
      <c r="E51" s="19" t="s">
        <v>404</v>
      </c>
      <c r="F51" s="19" t="s">
        <v>405</v>
      </c>
      <c r="G51" s="19" t="s">
        <v>406</v>
      </c>
      <c r="H51" s="19" t="s">
        <v>407</v>
      </c>
      <c r="I51" s="19" t="s">
        <v>408</v>
      </c>
      <c r="J51" s="19" t="s">
        <v>409</v>
      </c>
      <c r="K51" s="19" t="s">
        <v>108</v>
      </c>
      <c r="L51" s="16" t="s">
        <v>59</v>
      </c>
      <c r="M51" s="19"/>
    </row>
    <row r="52" customFormat="false" ht="78" hidden="false" customHeight="true" outlineLevel="0" collapsed="false">
      <c r="A52" s="15" t="s">
        <v>410</v>
      </c>
      <c r="B52" s="16" t="s">
        <v>49</v>
      </c>
      <c r="C52" s="17" t="s">
        <v>402</v>
      </c>
      <c r="D52" s="17" t="s">
        <v>403</v>
      </c>
      <c r="E52" s="17" t="s">
        <v>411</v>
      </c>
      <c r="F52" s="17" t="s">
        <v>412</v>
      </c>
      <c r="G52" s="17" t="s">
        <v>413</v>
      </c>
      <c r="H52" s="17" t="s">
        <v>414</v>
      </c>
      <c r="I52" s="17" t="s">
        <v>415</v>
      </c>
      <c r="J52" s="17" t="s">
        <v>416</v>
      </c>
      <c r="K52" s="17" t="s">
        <v>108</v>
      </c>
      <c r="L52" s="16" t="s">
        <v>59</v>
      </c>
      <c r="M52" s="17"/>
    </row>
    <row r="53" customFormat="false" ht="78" hidden="false" customHeight="true" outlineLevel="0" collapsed="false">
      <c r="A53" s="18" t="s">
        <v>417</v>
      </c>
      <c r="B53" s="16" t="s">
        <v>49</v>
      </c>
      <c r="C53" s="19" t="s">
        <v>402</v>
      </c>
      <c r="D53" s="19" t="s">
        <v>403</v>
      </c>
      <c r="E53" s="19" t="s">
        <v>418</v>
      </c>
      <c r="F53" s="19" t="s">
        <v>419</v>
      </c>
      <c r="G53" s="19" t="s">
        <v>420</v>
      </c>
      <c r="H53" s="19" t="s">
        <v>343</v>
      </c>
      <c r="I53" s="19" t="s">
        <v>421</v>
      </c>
      <c r="J53" s="19" t="s">
        <v>422</v>
      </c>
      <c r="K53" s="19" t="s">
        <v>108</v>
      </c>
      <c r="L53" s="16" t="s">
        <v>59</v>
      </c>
      <c r="M53" s="19"/>
    </row>
    <row r="54" customFormat="false" ht="78" hidden="false" customHeight="true" outlineLevel="0" collapsed="false">
      <c r="A54" s="15" t="s">
        <v>423</v>
      </c>
      <c r="B54" s="16" t="s">
        <v>49</v>
      </c>
      <c r="C54" s="17" t="s">
        <v>424</v>
      </c>
      <c r="D54" s="17" t="s">
        <v>425</v>
      </c>
      <c r="E54" s="17" t="s">
        <v>426</v>
      </c>
      <c r="F54" s="17" t="s">
        <v>427</v>
      </c>
      <c r="G54" s="17" t="s">
        <v>428</v>
      </c>
      <c r="H54" s="17" t="s">
        <v>429</v>
      </c>
      <c r="I54" s="17" t="s">
        <v>430</v>
      </c>
      <c r="J54" s="17" t="s">
        <v>431</v>
      </c>
      <c r="K54" s="17" t="s">
        <v>108</v>
      </c>
      <c r="L54" s="16" t="s">
        <v>59</v>
      </c>
      <c r="M54" s="17"/>
    </row>
    <row r="55" customFormat="false" ht="78" hidden="false" customHeight="true" outlineLevel="0" collapsed="false">
      <c r="A55" s="18" t="s">
        <v>432</v>
      </c>
      <c r="B55" s="16" t="s">
        <v>49</v>
      </c>
      <c r="C55" s="19" t="s">
        <v>424</v>
      </c>
      <c r="D55" s="19" t="s">
        <v>425</v>
      </c>
      <c r="E55" s="19" t="s">
        <v>433</v>
      </c>
      <c r="F55" s="19" t="s">
        <v>434</v>
      </c>
      <c r="G55" s="19" t="s">
        <v>435</v>
      </c>
      <c r="H55" s="19" t="s">
        <v>436</v>
      </c>
      <c r="I55" s="19" t="s">
        <v>437</v>
      </c>
      <c r="J55" s="19" t="s">
        <v>438</v>
      </c>
      <c r="K55" s="19" t="s">
        <v>108</v>
      </c>
      <c r="L55" s="16" t="s">
        <v>59</v>
      </c>
      <c r="M55" s="19"/>
    </row>
    <row r="56" customFormat="false" ht="78" hidden="false" customHeight="true" outlineLevel="0" collapsed="false">
      <c r="A56" s="15" t="s">
        <v>439</v>
      </c>
      <c r="B56" s="16" t="s">
        <v>49</v>
      </c>
      <c r="C56" s="17" t="s">
        <v>424</v>
      </c>
      <c r="D56" s="17" t="s">
        <v>425</v>
      </c>
      <c r="E56" s="17" t="s">
        <v>440</v>
      </c>
      <c r="F56" s="17" t="s">
        <v>441</v>
      </c>
      <c r="G56" s="17" t="s">
        <v>442</v>
      </c>
      <c r="H56" s="17" t="s">
        <v>120</v>
      </c>
      <c r="I56" s="17" t="s">
        <v>443</v>
      </c>
      <c r="J56" s="17" t="s">
        <v>443</v>
      </c>
      <c r="K56" s="17" t="s">
        <v>108</v>
      </c>
      <c r="L56" s="16" t="s">
        <v>59</v>
      </c>
      <c r="M56" s="17"/>
    </row>
    <row r="57" customFormat="false" ht="78" hidden="false" customHeight="true" outlineLevel="0" collapsed="false">
      <c r="A57" s="18" t="s">
        <v>444</v>
      </c>
      <c r="B57" s="16" t="s">
        <v>49</v>
      </c>
      <c r="C57" s="19" t="s">
        <v>424</v>
      </c>
      <c r="D57" s="19" t="s">
        <v>425</v>
      </c>
      <c r="E57" s="19" t="s">
        <v>445</v>
      </c>
      <c r="F57" s="19" t="s">
        <v>446</v>
      </c>
      <c r="G57" s="19" t="s">
        <v>447</v>
      </c>
      <c r="H57" s="19" t="s">
        <v>448</v>
      </c>
      <c r="I57" s="19" t="s">
        <v>449</v>
      </c>
      <c r="J57" s="19" t="s">
        <v>450</v>
      </c>
      <c r="K57" s="19" t="s">
        <v>108</v>
      </c>
      <c r="L57" s="16" t="s">
        <v>59</v>
      </c>
      <c r="M57" s="19"/>
    </row>
    <row r="58" customFormat="false" ht="78" hidden="false" customHeight="true" outlineLevel="0" collapsed="false">
      <c r="A58" s="15" t="s">
        <v>451</v>
      </c>
      <c r="B58" s="16" t="s">
        <v>49</v>
      </c>
      <c r="C58" s="17" t="s">
        <v>452</v>
      </c>
      <c r="D58" s="17" t="s">
        <v>453</v>
      </c>
      <c r="E58" s="17" t="s">
        <v>454</v>
      </c>
      <c r="F58" s="17" t="s">
        <v>455</v>
      </c>
      <c r="G58" s="17" t="s">
        <v>456</v>
      </c>
      <c r="H58" s="17" t="s">
        <v>457</v>
      </c>
      <c r="I58" s="17" t="s">
        <v>458</v>
      </c>
      <c r="J58" s="17" t="s">
        <v>459</v>
      </c>
      <c r="K58" s="17" t="s">
        <v>108</v>
      </c>
      <c r="L58" s="16" t="s">
        <v>59</v>
      </c>
      <c r="M58" s="17"/>
    </row>
    <row r="59" customFormat="false" ht="78" hidden="false" customHeight="true" outlineLevel="0" collapsed="false">
      <c r="A59" s="18" t="s">
        <v>460</v>
      </c>
      <c r="B59" s="16" t="s">
        <v>49</v>
      </c>
      <c r="C59" s="19" t="s">
        <v>452</v>
      </c>
      <c r="D59" s="19" t="s">
        <v>453</v>
      </c>
      <c r="E59" s="19" t="s">
        <v>461</v>
      </c>
      <c r="F59" s="19" t="s">
        <v>462</v>
      </c>
      <c r="G59" s="19" t="s">
        <v>463</v>
      </c>
      <c r="H59" s="19" t="s">
        <v>174</v>
      </c>
      <c r="I59" s="19" t="s">
        <v>464</v>
      </c>
      <c r="J59" s="19" t="s">
        <v>465</v>
      </c>
      <c r="K59" s="19" t="s">
        <v>108</v>
      </c>
      <c r="L59" s="16" t="s">
        <v>59</v>
      </c>
      <c r="M59" s="19"/>
    </row>
    <row r="60" customFormat="false" ht="78" hidden="false" customHeight="true" outlineLevel="0" collapsed="false">
      <c r="A60" s="15" t="s">
        <v>466</v>
      </c>
      <c r="B60" s="16" t="s">
        <v>49</v>
      </c>
      <c r="C60" s="17" t="s">
        <v>452</v>
      </c>
      <c r="D60" s="17" t="s">
        <v>453</v>
      </c>
      <c r="E60" s="17" t="s">
        <v>467</v>
      </c>
      <c r="F60" s="17" t="s">
        <v>468</v>
      </c>
      <c r="G60" s="17" t="s">
        <v>469</v>
      </c>
      <c r="H60" s="17" t="s">
        <v>470</v>
      </c>
      <c r="I60" s="17" t="s">
        <v>121</v>
      </c>
      <c r="J60" s="17" t="s">
        <v>471</v>
      </c>
      <c r="K60" s="17" t="s">
        <v>108</v>
      </c>
      <c r="L60" s="16" t="s">
        <v>59</v>
      </c>
      <c r="M60" s="17"/>
    </row>
    <row r="61" customFormat="false" ht="78" hidden="false" customHeight="true" outlineLevel="0" collapsed="false">
      <c r="A61" s="18" t="s">
        <v>472</v>
      </c>
      <c r="B61" s="16" t="s">
        <v>49</v>
      </c>
      <c r="C61" s="19" t="s">
        <v>473</v>
      </c>
      <c r="D61" s="19" t="s">
        <v>474</v>
      </c>
      <c r="E61" s="19" t="s">
        <v>475</v>
      </c>
      <c r="F61" s="19" t="s">
        <v>476</v>
      </c>
      <c r="G61" s="19" t="s">
        <v>477</v>
      </c>
      <c r="H61" s="19" t="s">
        <v>478</v>
      </c>
      <c r="I61" s="19" t="s">
        <v>479</v>
      </c>
      <c r="J61" s="19" t="s">
        <v>480</v>
      </c>
      <c r="K61" s="19" t="s">
        <v>108</v>
      </c>
      <c r="L61" s="16" t="s">
        <v>59</v>
      </c>
      <c r="M61" s="19"/>
    </row>
    <row r="62" customFormat="false" ht="78" hidden="false" customHeight="true" outlineLevel="0" collapsed="false">
      <c r="A62" s="15" t="s">
        <v>481</v>
      </c>
      <c r="B62" s="16" t="s">
        <v>49</v>
      </c>
      <c r="C62" s="17" t="s">
        <v>473</v>
      </c>
      <c r="D62" s="17" t="s">
        <v>474</v>
      </c>
      <c r="E62" s="17" t="s">
        <v>482</v>
      </c>
      <c r="F62" s="17" t="s">
        <v>483</v>
      </c>
      <c r="G62" s="17" t="s">
        <v>484</v>
      </c>
      <c r="H62" s="17" t="s">
        <v>485</v>
      </c>
      <c r="I62" s="17" t="s">
        <v>385</v>
      </c>
      <c r="J62" s="17" t="s">
        <v>486</v>
      </c>
      <c r="K62" s="17" t="s">
        <v>108</v>
      </c>
      <c r="L62" s="16" t="s">
        <v>59</v>
      </c>
      <c r="M62" s="17"/>
    </row>
    <row r="63" customFormat="false" ht="78" hidden="false" customHeight="true" outlineLevel="0" collapsed="false">
      <c r="A63" s="18" t="s">
        <v>487</v>
      </c>
      <c r="B63" s="16" t="s">
        <v>49</v>
      </c>
      <c r="C63" s="19" t="s">
        <v>473</v>
      </c>
      <c r="D63" s="19" t="s">
        <v>474</v>
      </c>
      <c r="E63" s="19" t="s">
        <v>488</v>
      </c>
      <c r="F63" s="19" t="s">
        <v>489</v>
      </c>
      <c r="G63" s="19" t="s">
        <v>490</v>
      </c>
      <c r="H63" s="19" t="s">
        <v>491</v>
      </c>
      <c r="I63" s="19" t="s">
        <v>385</v>
      </c>
      <c r="J63" s="19" t="s">
        <v>490</v>
      </c>
      <c r="K63" s="19" t="s">
        <v>108</v>
      </c>
      <c r="L63" s="16" t="s">
        <v>59</v>
      </c>
      <c r="M63" s="19"/>
    </row>
    <row r="64" customFormat="false" ht="78" hidden="false" customHeight="true" outlineLevel="0" collapsed="false">
      <c r="A64" s="15" t="s">
        <v>492</v>
      </c>
      <c r="B64" s="16" t="s">
        <v>49</v>
      </c>
      <c r="C64" s="17" t="s">
        <v>473</v>
      </c>
      <c r="D64" s="17" t="s">
        <v>474</v>
      </c>
      <c r="E64" s="17" t="s">
        <v>493</v>
      </c>
      <c r="F64" s="17" t="s">
        <v>494</v>
      </c>
      <c r="G64" s="17" t="s">
        <v>495</v>
      </c>
      <c r="H64" s="17" t="s">
        <v>496</v>
      </c>
      <c r="I64" s="17" t="s">
        <v>220</v>
      </c>
      <c r="J64" s="17" t="s">
        <v>495</v>
      </c>
      <c r="K64" s="17" t="s">
        <v>108</v>
      </c>
      <c r="L64" s="16" t="s">
        <v>59</v>
      </c>
      <c r="M64" s="17"/>
    </row>
    <row r="65" customFormat="false" ht="78" hidden="false" customHeight="true" outlineLevel="0" collapsed="false">
      <c r="A65" s="18" t="s">
        <v>497</v>
      </c>
      <c r="B65" s="16" t="s">
        <v>49</v>
      </c>
      <c r="C65" s="19" t="s">
        <v>473</v>
      </c>
      <c r="D65" s="19" t="s">
        <v>474</v>
      </c>
      <c r="E65" s="19" t="s">
        <v>498</v>
      </c>
      <c r="F65" s="19" t="s">
        <v>499</v>
      </c>
      <c r="G65" s="19" t="s">
        <v>500</v>
      </c>
      <c r="H65" s="19" t="s">
        <v>501</v>
      </c>
      <c r="I65" s="19" t="s">
        <v>502</v>
      </c>
      <c r="J65" s="19" t="s">
        <v>136</v>
      </c>
      <c r="K65" s="19" t="s">
        <v>108</v>
      </c>
      <c r="L65" s="16" t="s">
        <v>59</v>
      </c>
      <c r="M65" s="19"/>
    </row>
    <row r="66" customFormat="false" ht="78" hidden="false" customHeight="true" outlineLevel="0" collapsed="false">
      <c r="A66" s="15" t="s">
        <v>503</v>
      </c>
      <c r="B66" s="16" t="s">
        <v>49</v>
      </c>
      <c r="C66" s="17" t="s">
        <v>473</v>
      </c>
      <c r="D66" s="17" t="s">
        <v>474</v>
      </c>
      <c r="E66" s="17" t="s">
        <v>504</v>
      </c>
      <c r="F66" s="17" t="s">
        <v>505</v>
      </c>
      <c r="G66" s="17" t="s">
        <v>506</v>
      </c>
      <c r="H66" s="17" t="s">
        <v>507</v>
      </c>
      <c r="I66" s="17" t="s">
        <v>385</v>
      </c>
      <c r="J66" s="17" t="s">
        <v>506</v>
      </c>
      <c r="K66" s="17" t="s">
        <v>108</v>
      </c>
      <c r="L66" s="16" t="s">
        <v>59</v>
      </c>
      <c r="M66" s="17"/>
    </row>
    <row r="67" customFormat="false" ht="78" hidden="false" customHeight="true" outlineLevel="0" collapsed="false">
      <c r="A67" s="18" t="s">
        <v>508</v>
      </c>
      <c r="B67" s="16" t="s">
        <v>49</v>
      </c>
      <c r="C67" s="19" t="s">
        <v>473</v>
      </c>
      <c r="D67" s="19" t="s">
        <v>474</v>
      </c>
      <c r="E67" s="19" t="s">
        <v>509</v>
      </c>
      <c r="F67" s="19" t="s">
        <v>510</v>
      </c>
      <c r="G67" s="19" t="s">
        <v>511</v>
      </c>
      <c r="H67" s="19" t="s">
        <v>512</v>
      </c>
      <c r="I67" s="19" t="s">
        <v>513</v>
      </c>
      <c r="J67" s="19" t="s">
        <v>514</v>
      </c>
      <c r="K67" s="19" t="s">
        <v>108</v>
      </c>
      <c r="L67" s="16" t="s">
        <v>59</v>
      </c>
      <c r="M67" s="19"/>
    </row>
    <row r="68" customFormat="false" ht="78" hidden="false" customHeight="true" outlineLevel="0" collapsed="false">
      <c r="A68" s="15" t="s">
        <v>515</v>
      </c>
      <c r="B68" s="16" t="s">
        <v>49</v>
      </c>
      <c r="C68" s="17" t="s">
        <v>473</v>
      </c>
      <c r="D68" s="17" t="s">
        <v>474</v>
      </c>
      <c r="E68" s="17" t="s">
        <v>516</v>
      </c>
      <c r="F68" s="17" t="s">
        <v>517</v>
      </c>
      <c r="G68" s="17" t="s">
        <v>273</v>
      </c>
      <c r="H68" s="17" t="s">
        <v>272</v>
      </c>
      <c r="I68" s="17" t="s">
        <v>274</v>
      </c>
      <c r="J68" s="17" t="s">
        <v>275</v>
      </c>
      <c r="K68" s="17" t="s">
        <v>108</v>
      </c>
      <c r="L68" s="16" t="s">
        <v>59</v>
      </c>
      <c r="M68" s="17"/>
    </row>
    <row r="69" customFormat="false" ht="78" hidden="false" customHeight="true" outlineLevel="0" collapsed="false">
      <c r="A69" s="18" t="s">
        <v>518</v>
      </c>
      <c r="B69" s="16" t="s">
        <v>49</v>
      </c>
      <c r="C69" s="19" t="s">
        <v>519</v>
      </c>
      <c r="D69" s="19" t="s">
        <v>520</v>
      </c>
      <c r="E69" s="19" t="s">
        <v>521</v>
      </c>
      <c r="F69" s="19" t="s">
        <v>522</v>
      </c>
      <c r="G69" s="19" t="s">
        <v>523</v>
      </c>
      <c r="H69" s="19" t="s">
        <v>524</v>
      </c>
      <c r="I69" s="19" t="s">
        <v>525</v>
      </c>
      <c r="J69" s="19" t="s">
        <v>526</v>
      </c>
      <c r="K69" s="19" t="s">
        <v>108</v>
      </c>
      <c r="L69" s="16" t="s">
        <v>59</v>
      </c>
      <c r="M69" s="19"/>
    </row>
    <row r="70" customFormat="false" ht="78" hidden="false" customHeight="true" outlineLevel="0" collapsed="false">
      <c r="A70" s="15" t="s">
        <v>527</v>
      </c>
      <c r="B70" s="16" t="s">
        <v>49</v>
      </c>
      <c r="C70" s="17" t="s">
        <v>519</v>
      </c>
      <c r="D70" s="17" t="s">
        <v>520</v>
      </c>
      <c r="E70" s="17" t="s">
        <v>528</v>
      </c>
      <c r="F70" s="17" t="s">
        <v>529</v>
      </c>
      <c r="G70" s="17" t="s">
        <v>530</v>
      </c>
      <c r="H70" s="17" t="s">
        <v>193</v>
      </c>
      <c r="I70" s="17" t="s">
        <v>531</v>
      </c>
      <c r="J70" s="17" t="s">
        <v>532</v>
      </c>
      <c r="K70" s="17" t="s">
        <v>108</v>
      </c>
      <c r="L70" s="16" t="s">
        <v>59</v>
      </c>
      <c r="M70" s="17"/>
    </row>
    <row r="71" customFormat="false" ht="78" hidden="false" customHeight="true" outlineLevel="0" collapsed="false">
      <c r="A71" s="18" t="s">
        <v>533</v>
      </c>
      <c r="B71" s="16" t="s">
        <v>49</v>
      </c>
      <c r="C71" s="19" t="s">
        <v>519</v>
      </c>
      <c r="D71" s="19" t="s">
        <v>520</v>
      </c>
      <c r="E71" s="19" t="s">
        <v>534</v>
      </c>
      <c r="F71" s="19" t="s">
        <v>535</v>
      </c>
      <c r="G71" s="19" t="s">
        <v>536</v>
      </c>
      <c r="H71" s="19" t="s">
        <v>537</v>
      </c>
      <c r="I71" s="19" t="s">
        <v>538</v>
      </c>
      <c r="J71" s="19" t="s">
        <v>539</v>
      </c>
      <c r="K71" s="19" t="s">
        <v>108</v>
      </c>
      <c r="L71" s="16" t="s">
        <v>59</v>
      </c>
      <c r="M71" s="19"/>
    </row>
    <row r="72" customFormat="false" ht="78" hidden="false" customHeight="true" outlineLevel="0" collapsed="false">
      <c r="A72" s="15" t="s">
        <v>540</v>
      </c>
      <c r="B72" s="16" t="s">
        <v>49</v>
      </c>
      <c r="C72" s="17" t="s">
        <v>519</v>
      </c>
      <c r="D72" s="17" t="s">
        <v>520</v>
      </c>
      <c r="E72" s="17" t="s">
        <v>541</v>
      </c>
      <c r="F72" s="17" t="s">
        <v>542</v>
      </c>
      <c r="G72" s="17" t="s">
        <v>543</v>
      </c>
      <c r="H72" s="17" t="s">
        <v>544</v>
      </c>
      <c r="I72" s="17" t="s">
        <v>545</v>
      </c>
      <c r="J72" s="17" t="s">
        <v>240</v>
      </c>
      <c r="K72" s="17" t="s">
        <v>108</v>
      </c>
      <c r="L72" s="16" t="s">
        <v>59</v>
      </c>
      <c r="M72" s="17"/>
    </row>
    <row r="73" customFormat="false" ht="78" hidden="false" customHeight="true" outlineLevel="0" collapsed="false">
      <c r="A73" s="18" t="s">
        <v>546</v>
      </c>
      <c r="B73" s="16" t="s">
        <v>49</v>
      </c>
      <c r="C73" s="19" t="s">
        <v>519</v>
      </c>
      <c r="D73" s="19" t="s">
        <v>520</v>
      </c>
      <c r="E73" s="19" t="s">
        <v>547</v>
      </c>
      <c r="F73" s="19" t="s">
        <v>548</v>
      </c>
      <c r="G73" s="19" t="s">
        <v>214</v>
      </c>
      <c r="H73" s="19" t="s">
        <v>549</v>
      </c>
      <c r="I73" s="19" t="s">
        <v>550</v>
      </c>
      <c r="J73" s="19" t="s">
        <v>551</v>
      </c>
      <c r="K73" s="19" t="s">
        <v>108</v>
      </c>
      <c r="L73" s="16" t="s">
        <v>59</v>
      </c>
      <c r="M73" s="19"/>
    </row>
    <row r="74" customFormat="false" ht="78" hidden="false" customHeight="true" outlineLevel="0" collapsed="false">
      <c r="A74" s="15" t="s">
        <v>552</v>
      </c>
      <c r="B74" s="16" t="s">
        <v>49</v>
      </c>
      <c r="C74" s="17" t="s">
        <v>519</v>
      </c>
      <c r="D74" s="17" t="s">
        <v>520</v>
      </c>
      <c r="E74" s="17" t="s">
        <v>553</v>
      </c>
      <c r="F74" s="17" t="s">
        <v>554</v>
      </c>
      <c r="G74" s="17" t="s">
        <v>555</v>
      </c>
      <c r="H74" s="17" t="s">
        <v>556</v>
      </c>
      <c r="I74" s="17" t="s">
        <v>557</v>
      </c>
      <c r="J74" s="17" t="s">
        <v>558</v>
      </c>
      <c r="K74" s="17" t="s">
        <v>108</v>
      </c>
      <c r="L74" s="16" t="s">
        <v>59</v>
      </c>
      <c r="M74" s="17"/>
    </row>
    <row r="75" customFormat="false" ht="78" hidden="false" customHeight="true" outlineLevel="0" collapsed="false">
      <c r="A75" s="18" t="s">
        <v>559</v>
      </c>
      <c r="B75" s="16" t="s">
        <v>49</v>
      </c>
      <c r="C75" s="19" t="s">
        <v>519</v>
      </c>
      <c r="D75" s="19" t="s">
        <v>520</v>
      </c>
      <c r="E75" s="19" t="s">
        <v>560</v>
      </c>
      <c r="F75" s="19" t="s">
        <v>561</v>
      </c>
      <c r="G75" s="19" t="s">
        <v>562</v>
      </c>
      <c r="H75" s="19" t="s">
        <v>563</v>
      </c>
      <c r="I75" s="19" t="s">
        <v>564</v>
      </c>
      <c r="J75" s="19" t="s">
        <v>565</v>
      </c>
      <c r="K75" s="19" t="s">
        <v>108</v>
      </c>
      <c r="L75" s="16" t="s">
        <v>59</v>
      </c>
      <c r="M75" s="19"/>
    </row>
    <row r="76" customFormat="false" ht="78" hidden="false" customHeight="true" outlineLevel="0" collapsed="false">
      <c r="A76" s="15" t="s">
        <v>566</v>
      </c>
      <c r="B76" s="16" t="s">
        <v>49</v>
      </c>
      <c r="C76" s="17" t="s">
        <v>567</v>
      </c>
      <c r="D76" s="17" t="s">
        <v>568</v>
      </c>
      <c r="E76" s="17" t="s">
        <v>569</v>
      </c>
      <c r="F76" s="17" t="s">
        <v>570</v>
      </c>
      <c r="G76" s="17" t="s">
        <v>571</v>
      </c>
      <c r="H76" s="17" t="s">
        <v>572</v>
      </c>
      <c r="I76" s="17" t="s">
        <v>573</v>
      </c>
      <c r="J76" s="17" t="s">
        <v>574</v>
      </c>
      <c r="K76" s="17" t="s">
        <v>108</v>
      </c>
      <c r="L76" s="16" t="s">
        <v>59</v>
      </c>
      <c r="M76" s="17"/>
    </row>
    <row r="77" customFormat="false" ht="78" hidden="false" customHeight="true" outlineLevel="0" collapsed="false">
      <c r="A77" s="18" t="s">
        <v>575</v>
      </c>
      <c r="B77" s="16" t="s">
        <v>49</v>
      </c>
      <c r="C77" s="19" t="s">
        <v>567</v>
      </c>
      <c r="D77" s="19" t="s">
        <v>568</v>
      </c>
      <c r="E77" s="19" t="s">
        <v>576</v>
      </c>
      <c r="F77" s="19" t="s">
        <v>577</v>
      </c>
      <c r="G77" s="19" t="s">
        <v>578</v>
      </c>
      <c r="H77" s="19" t="s">
        <v>579</v>
      </c>
      <c r="I77" s="19" t="s">
        <v>214</v>
      </c>
      <c r="J77" s="19" t="s">
        <v>580</v>
      </c>
      <c r="K77" s="19" t="s">
        <v>108</v>
      </c>
      <c r="L77" s="16" t="s">
        <v>59</v>
      </c>
      <c r="M77" s="19"/>
    </row>
    <row r="78" customFormat="false" ht="78" hidden="false" customHeight="true" outlineLevel="0" collapsed="false">
      <c r="A78" s="15" t="s">
        <v>581</v>
      </c>
      <c r="B78" s="16" t="s">
        <v>49</v>
      </c>
      <c r="C78" s="17" t="s">
        <v>567</v>
      </c>
      <c r="D78" s="17" t="s">
        <v>568</v>
      </c>
      <c r="E78" s="17" t="s">
        <v>582</v>
      </c>
      <c r="F78" s="17" t="s">
        <v>583</v>
      </c>
      <c r="G78" s="17" t="s">
        <v>584</v>
      </c>
      <c r="H78" s="17" t="s">
        <v>585</v>
      </c>
      <c r="I78" s="17" t="s">
        <v>586</v>
      </c>
      <c r="J78" s="17" t="s">
        <v>587</v>
      </c>
      <c r="K78" s="17" t="s">
        <v>108</v>
      </c>
      <c r="L78" s="16" t="s">
        <v>59</v>
      </c>
      <c r="M78" s="17"/>
    </row>
    <row r="79" customFormat="false" ht="78" hidden="false" customHeight="true" outlineLevel="0" collapsed="false">
      <c r="A79" s="18" t="s">
        <v>588</v>
      </c>
      <c r="B79" s="16" t="s">
        <v>49</v>
      </c>
      <c r="C79" s="19" t="s">
        <v>567</v>
      </c>
      <c r="D79" s="19" t="s">
        <v>568</v>
      </c>
      <c r="E79" s="19" t="s">
        <v>589</v>
      </c>
      <c r="F79" s="19" t="s">
        <v>590</v>
      </c>
      <c r="G79" s="19" t="s">
        <v>591</v>
      </c>
      <c r="H79" s="19" t="s">
        <v>592</v>
      </c>
      <c r="I79" s="19" t="s">
        <v>593</v>
      </c>
      <c r="J79" s="19" t="s">
        <v>594</v>
      </c>
      <c r="K79" s="19" t="s">
        <v>108</v>
      </c>
      <c r="L79" s="16" t="s">
        <v>59</v>
      </c>
      <c r="M79" s="19"/>
    </row>
    <row r="80" customFormat="false" ht="78" hidden="false" customHeight="true" outlineLevel="0" collapsed="false">
      <c r="A80" s="15" t="s">
        <v>595</v>
      </c>
      <c r="B80" s="16" t="s">
        <v>49</v>
      </c>
      <c r="C80" s="17" t="s">
        <v>567</v>
      </c>
      <c r="D80" s="17" t="s">
        <v>568</v>
      </c>
      <c r="E80" s="17" t="s">
        <v>596</v>
      </c>
      <c r="F80" s="17" t="s">
        <v>597</v>
      </c>
      <c r="G80" s="17" t="s">
        <v>598</v>
      </c>
      <c r="H80" s="17" t="s">
        <v>599</v>
      </c>
      <c r="I80" s="17" t="s">
        <v>513</v>
      </c>
      <c r="J80" s="17" t="s">
        <v>599</v>
      </c>
      <c r="K80" s="17" t="s">
        <v>108</v>
      </c>
      <c r="L80" s="16" t="s">
        <v>59</v>
      </c>
      <c r="M80" s="17"/>
    </row>
    <row r="81" customFormat="false" ht="78" hidden="false" customHeight="true" outlineLevel="0" collapsed="false">
      <c r="A81" s="18" t="s">
        <v>600</v>
      </c>
      <c r="B81" s="16" t="s">
        <v>49</v>
      </c>
      <c r="C81" s="19" t="s">
        <v>567</v>
      </c>
      <c r="D81" s="19" t="s">
        <v>568</v>
      </c>
      <c r="E81" s="19" t="s">
        <v>601</v>
      </c>
      <c r="F81" s="19" t="s">
        <v>602</v>
      </c>
      <c r="G81" s="19" t="s">
        <v>603</v>
      </c>
      <c r="H81" s="19" t="s">
        <v>604</v>
      </c>
      <c r="I81" s="19" t="s">
        <v>254</v>
      </c>
      <c r="J81" s="19" t="s">
        <v>605</v>
      </c>
      <c r="K81" s="19" t="s">
        <v>108</v>
      </c>
      <c r="L81" s="16" t="s">
        <v>59</v>
      </c>
      <c r="M81" s="19"/>
    </row>
    <row r="82" customFormat="false" ht="78" hidden="false" customHeight="true" outlineLevel="0" collapsed="false">
      <c r="A82" s="15" t="s">
        <v>606</v>
      </c>
      <c r="B82" s="16" t="s">
        <v>49</v>
      </c>
      <c r="C82" s="17" t="s">
        <v>567</v>
      </c>
      <c r="D82" s="17" t="s">
        <v>568</v>
      </c>
      <c r="E82" s="17" t="s">
        <v>607</v>
      </c>
      <c r="F82" s="17" t="s">
        <v>608</v>
      </c>
      <c r="G82" s="17" t="s">
        <v>609</v>
      </c>
      <c r="H82" s="17" t="s">
        <v>592</v>
      </c>
      <c r="I82" s="17" t="s">
        <v>610</v>
      </c>
      <c r="J82" s="17" t="s">
        <v>611</v>
      </c>
      <c r="K82" s="17" t="s">
        <v>108</v>
      </c>
      <c r="L82" s="16" t="s">
        <v>59</v>
      </c>
      <c r="M82" s="17"/>
    </row>
    <row r="83" customFormat="false" ht="78" hidden="false" customHeight="true" outlineLevel="0" collapsed="false">
      <c r="A83" s="18" t="s">
        <v>612</v>
      </c>
      <c r="B83" s="16" t="s">
        <v>49</v>
      </c>
      <c r="C83" s="19" t="s">
        <v>613</v>
      </c>
      <c r="D83" s="19" t="s">
        <v>614</v>
      </c>
      <c r="E83" s="19" t="s">
        <v>615</v>
      </c>
      <c r="F83" s="19" t="s">
        <v>616</v>
      </c>
      <c r="G83" s="19" t="s">
        <v>617</v>
      </c>
      <c r="H83" s="19" t="s">
        <v>618</v>
      </c>
      <c r="I83" s="19" t="s">
        <v>619</v>
      </c>
      <c r="J83" s="19" t="s">
        <v>620</v>
      </c>
      <c r="K83" s="19" t="s">
        <v>621</v>
      </c>
      <c r="L83" s="16" t="s">
        <v>59</v>
      </c>
      <c r="M83" s="19"/>
    </row>
    <row r="84" customFormat="false" ht="78" hidden="false" customHeight="true" outlineLevel="0" collapsed="false">
      <c r="A84" s="15" t="s">
        <v>622</v>
      </c>
      <c r="B84" s="16" t="s">
        <v>49</v>
      </c>
      <c r="C84" s="17" t="s">
        <v>613</v>
      </c>
      <c r="D84" s="17" t="s">
        <v>614</v>
      </c>
      <c r="E84" s="17" t="s">
        <v>623</v>
      </c>
      <c r="F84" s="17" t="s">
        <v>624</v>
      </c>
      <c r="G84" s="17" t="s">
        <v>625</v>
      </c>
      <c r="H84" s="17" t="s">
        <v>626</v>
      </c>
      <c r="I84" s="17" t="s">
        <v>627</v>
      </c>
      <c r="J84" s="17" t="s">
        <v>628</v>
      </c>
      <c r="K84" s="17" t="s">
        <v>108</v>
      </c>
      <c r="L84" s="16" t="s">
        <v>59</v>
      </c>
      <c r="M84" s="17"/>
    </row>
    <row r="85" customFormat="false" ht="78" hidden="false" customHeight="true" outlineLevel="0" collapsed="false">
      <c r="A85" s="18" t="s">
        <v>629</v>
      </c>
      <c r="B85" s="16" t="s">
        <v>49</v>
      </c>
      <c r="C85" s="19" t="s">
        <v>613</v>
      </c>
      <c r="D85" s="19" t="s">
        <v>614</v>
      </c>
      <c r="E85" s="19" t="s">
        <v>630</v>
      </c>
      <c r="F85" s="19" t="s">
        <v>631</v>
      </c>
      <c r="G85" s="19" t="s">
        <v>632</v>
      </c>
      <c r="H85" s="19" t="s">
        <v>633</v>
      </c>
      <c r="I85" s="19" t="s">
        <v>634</v>
      </c>
      <c r="J85" s="19" t="s">
        <v>635</v>
      </c>
      <c r="K85" s="19" t="s">
        <v>108</v>
      </c>
      <c r="L85" s="16" t="s">
        <v>59</v>
      </c>
      <c r="M85" s="19"/>
    </row>
    <row r="86" customFormat="false" ht="78" hidden="false" customHeight="true" outlineLevel="0" collapsed="false">
      <c r="A86" s="15" t="s">
        <v>636</v>
      </c>
      <c r="B86" s="16" t="s">
        <v>49</v>
      </c>
      <c r="C86" s="17" t="s">
        <v>613</v>
      </c>
      <c r="D86" s="17" t="s">
        <v>614</v>
      </c>
      <c r="E86" s="17" t="s">
        <v>637</v>
      </c>
      <c r="F86" s="17" t="s">
        <v>638</v>
      </c>
      <c r="G86" s="17" t="s">
        <v>639</v>
      </c>
      <c r="H86" s="17" t="s">
        <v>640</v>
      </c>
      <c r="I86" s="17" t="s">
        <v>641</v>
      </c>
      <c r="J86" s="17" t="s">
        <v>642</v>
      </c>
      <c r="K86" s="17" t="s">
        <v>621</v>
      </c>
      <c r="L86" s="16" t="s">
        <v>59</v>
      </c>
      <c r="M86" s="17"/>
    </row>
    <row r="87" customFormat="false" ht="78" hidden="false" customHeight="true" outlineLevel="0" collapsed="false">
      <c r="A87" s="18" t="s">
        <v>643</v>
      </c>
      <c r="B87" s="16" t="s">
        <v>49</v>
      </c>
      <c r="C87" s="19" t="s">
        <v>613</v>
      </c>
      <c r="D87" s="19" t="s">
        <v>614</v>
      </c>
      <c r="E87" s="19" t="s">
        <v>644</v>
      </c>
      <c r="F87" s="19" t="s">
        <v>645</v>
      </c>
      <c r="G87" s="19" t="s">
        <v>646</v>
      </c>
      <c r="H87" s="19" t="s">
        <v>647</v>
      </c>
      <c r="I87" s="19" t="s">
        <v>648</v>
      </c>
      <c r="J87" s="19" t="s">
        <v>649</v>
      </c>
      <c r="K87" s="19" t="s">
        <v>108</v>
      </c>
      <c r="L87" s="16" t="s">
        <v>59</v>
      </c>
      <c r="M87" s="19"/>
    </row>
    <row r="88" customFormat="false" ht="78" hidden="false" customHeight="true" outlineLevel="0" collapsed="false">
      <c r="A88" s="15" t="s">
        <v>650</v>
      </c>
      <c r="B88" s="16" t="s">
        <v>49</v>
      </c>
      <c r="C88" s="17" t="s">
        <v>613</v>
      </c>
      <c r="D88" s="17" t="s">
        <v>614</v>
      </c>
      <c r="E88" s="17" t="s">
        <v>651</v>
      </c>
      <c r="F88" s="17" t="s">
        <v>652</v>
      </c>
      <c r="G88" s="17" t="s">
        <v>653</v>
      </c>
      <c r="H88" s="17" t="s">
        <v>654</v>
      </c>
      <c r="I88" s="17" t="s">
        <v>655</v>
      </c>
      <c r="J88" s="17" t="s">
        <v>333</v>
      </c>
      <c r="K88" s="17" t="s">
        <v>108</v>
      </c>
      <c r="L88" s="16" t="s">
        <v>59</v>
      </c>
      <c r="M88" s="17"/>
    </row>
    <row r="89" customFormat="false" ht="78" hidden="false" customHeight="true" outlineLevel="0" collapsed="false">
      <c r="A89" s="18" t="s">
        <v>656</v>
      </c>
      <c r="B89" s="16" t="s">
        <v>49</v>
      </c>
      <c r="C89" s="19" t="s">
        <v>613</v>
      </c>
      <c r="D89" s="19" t="s">
        <v>614</v>
      </c>
      <c r="E89" s="19" t="s">
        <v>657</v>
      </c>
      <c r="F89" s="19" t="s">
        <v>658</v>
      </c>
      <c r="G89" s="19" t="s">
        <v>659</v>
      </c>
      <c r="H89" s="19" t="s">
        <v>660</v>
      </c>
      <c r="I89" s="19" t="s">
        <v>661</v>
      </c>
      <c r="J89" s="19" t="s">
        <v>662</v>
      </c>
      <c r="K89" s="19" t="s">
        <v>108</v>
      </c>
      <c r="L89" s="16" t="s">
        <v>59</v>
      </c>
      <c r="M89" s="19"/>
    </row>
    <row r="90" customFormat="false" ht="78" hidden="false" customHeight="true" outlineLevel="0" collapsed="false">
      <c r="A90" s="15" t="s">
        <v>663</v>
      </c>
      <c r="B90" s="16" t="s">
        <v>49</v>
      </c>
      <c r="C90" s="17" t="s">
        <v>664</v>
      </c>
      <c r="D90" s="17" t="s">
        <v>665</v>
      </c>
      <c r="E90" s="17" t="s">
        <v>666</v>
      </c>
      <c r="F90" s="17" t="s">
        <v>667</v>
      </c>
      <c r="G90" s="17" t="s">
        <v>668</v>
      </c>
      <c r="H90" s="17" t="s">
        <v>179</v>
      </c>
      <c r="I90" s="17" t="s">
        <v>325</v>
      </c>
      <c r="J90" s="17" t="s">
        <v>669</v>
      </c>
      <c r="K90" s="17" t="s">
        <v>108</v>
      </c>
      <c r="L90" s="16" t="s">
        <v>59</v>
      </c>
      <c r="M90" s="17"/>
    </row>
    <row r="91" customFormat="false" ht="78" hidden="false" customHeight="true" outlineLevel="0" collapsed="false">
      <c r="A91" s="18" t="s">
        <v>670</v>
      </c>
      <c r="B91" s="16" t="s">
        <v>49</v>
      </c>
      <c r="C91" s="19" t="s">
        <v>664</v>
      </c>
      <c r="D91" s="19" t="s">
        <v>665</v>
      </c>
      <c r="E91" s="19" t="s">
        <v>671</v>
      </c>
      <c r="F91" s="19" t="s">
        <v>672</v>
      </c>
      <c r="G91" s="19" t="s">
        <v>673</v>
      </c>
      <c r="H91" s="19" t="s">
        <v>674</v>
      </c>
      <c r="I91" s="19" t="s">
        <v>675</v>
      </c>
      <c r="J91" s="19" t="s">
        <v>673</v>
      </c>
      <c r="K91" s="19" t="s">
        <v>108</v>
      </c>
      <c r="L91" s="16" t="s">
        <v>59</v>
      </c>
      <c r="M91" s="19"/>
    </row>
    <row r="92" customFormat="false" ht="78" hidden="false" customHeight="true" outlineLevel="0" collapsed="false">
      <c r="A92" s="15" t="s">
        <v>676</v>
      </c>
      <c r="B92" s="16" t="s">
        <v>49</v>
      </c>
      <c r="C92" s="17" t="s">
        <v>664</v>
      </c>
      <c r="D92" s="17" t="s">
        <v>665</v>
      </c>
      <c r="E92" s="17" t="s">
        <v>677</v>
      </c>
      <c r="F92" s="17" t="s">
        <v>678</v>
      </c>
      <c r="G92" s="17" t="s">
        <v>679</v>
      </c>
      <c r="H92" s="17" t="s">
        <v>680</v>
      </c>
      <c r="I92" s="17" t="s">
        <v>681</v>
      </c>
      <c r="J92" s="17" t="s">
        <v>317</v>
      </c>
      <c r="K92" s="17" t="s">
        <v>108</v>
      </c>
      <c r="L92" s="16" t="s">
        <v>59</v>
      </c>
      <c r="M92" s="17"/>
    </row>
    <row r="93" customFormat="false" ht="78" hidden="false" customHeight="true" outlineLevel="0" collapsed="false">
      <c r="A93" s="18" t="s">
        <v>682</v>
      </c>
      <c r="B93" s="16" t="s">
        <v>49</v>
      </c>
      <c r="C93" s="19" t="s">
        <v>664</v>
      </c>
      <c r="D93" s="19" t="s">
        <v>665</v>
      </c>
      <c r="E93" s="19" t="s">
        <v>683</v>
      </c>
      <c r="F93" s="19" t="s">
        <v>684</v>
      </c>
      <c r="G93" s="19" t="s">
        <v>685</v>
      </c>
      <c r="H93" s="19" t="s">
        <v>686</v>
      </c>
      <c r="I93" s="19" t="s">
        <v>687</v>
      </c>
      <c r="J93" s="19" t="s">
        <v>688</v>
      </c>
      <c r="K93" s="19" t="s">
        <v>108</v>
      </c>
      <c r="L93" s="16" t="s">
        <v>59</v>
      </c>
      <c r="M93" s="19"/>
    </row>
    <row r="94" customFormat="false" ht="78" hidden="false" customHeight="true" outlineLevel="0" collapsed="false">
      <c r="A94" s="15" t="s">
        <v>689</v>
      </c>
      <c r="B94" s="16" t="s">
        <v>49</v>
      </c>
      <c r="C94" s="17" t="s">
        <v>664</v>
      </c>
      <c r="D94" s="17" t="s">
        <v>665</v>
      </c>
      <c r="E94" s="17" t="s">
        <v>690</v>
      </c>
      <c r="F94" s="17" t="s">
        <v>691</v>
      </c>
      <c r="G94" s="17" t="s">
        <v>692</v>
      </c>
      <c r="H94" s="17" t="s">
        <v>693</v>
      </c>
      <c r="I94" s="17" t="s">
        <v>694</v>
      </c>
      <c r="J94" s="17" t="s">
        <v>695</v>
      </c>
      <c r="K94" s="17" t="s">
        <v>108</v>
      </c>
      <c r="L94" s="16" t="s">
        <v>59</v>
      </c>
      <c r="M94" s="17"/>
    </row>
    <row r="95" customFormat="false" ht="78" hidden="false" customHeight="true" outlineLevel="0" collapsed="false">
      <c r="A95" s="18" t="s">
        <v>696</v>
      </c>
      <c r="B95" s="16" t="s">
        <v>49</v>
      </c>
      <c r="C95" s="19" t="s">
        <v>664</v>
      </c>
      <c r="D95" s="19" t="s">
        <v>665</v>
      </c>
      <c r="E95" s="19" t="s">
        <v>697</v>
      </c>
      <c r="F95" s="19" t="s">
        <v>698</v>
      </c>
      <c r="G95" s="19" t="s">
        <v>699</v>
      </c>
      <c r="H95" s="19" t="s">
        <v>700</v>
      </c>
      <c r="I95" s="19" t="s">
        <v>385</v>
      </c>
      <c r="J95" s="19" t="s">
        <v>701</v>
      </c>
      <c r="K95" s="19" t="s">
        <v>108</v>
      </c>
      <c r="L95" s="16" t="s">
        <v>59</v>
      </c>
      <c r="M95" s="19"/>
    </row>
    <row r="96" customFormat="false" ht="78" hidden="false" customHeight="true" outlineLevel="0" collapsed="false">
      <c r="A96" s="15" t="s">
        <v>702</v>
      </c>
      <c r="B96" s="16" t="s">
        <v>49</v>
      </c>
      <c r="C96" s="17" t="s">
        <v>664</v>
      </c>
      <c r="D96" s="17" t="s">
        <v>665</v>
      </c>
      <c r="E96" s="17" t="s">
        <v>703</v>
      </c>
      <c r="F96" s="17" t="s">
        <v>704</v>
      </c>
      <c r="G96" s="17" t="s">
        <v>705</v>
      </c>
      <c r="H96" s="17" t="s">
        <v>706</v>
      </c>
      <c r="I96" s="17" t="s">
        <v>385</v>
      </c>
      <c r="J96" s="17" t="s">
        <v>707</v>
      </c>
      <c r="K96" s="17" t="s">
        <v>108</v>
      </c>
      <c r="L96" s="16" t="s">
        <v>59</v>
      </c>
      <c r="M96" s="17"/>
    </row>
    <row r="97" customFormat="false" ht="78" hidden="false" customHeight="true" outlineLevel="0" collapsed="false">
      <c r="A97" s="18" t="s">
        <v>708</v>
      </c>
      <c r="B97" s="16" t="s">
        <v>49</v>
      </c>
      <c r="C97" s="19" t="s">
        <v>709</v>
      </c>
      <c r="D97" s="19" t="s">
        <v>710</v>
      </c>
      <c r="E97" s="19" t="s">
        <v>711</v>
      </c>
      <c r="F97" s="19" t="s">
        <v>712</v>
      </c>
      <c r="G97" s="19" t="s">
        <v>713</v>
      </c>
      <c r="H97" s="19" t="s">
        <v>193</v>
      </c>
      <c r="I97" s="19" t="s">
        <v>714</v>
      </c>
      <c r="J97" s="19" t="s">
        <v>715</v>
      </c>
      <c r="K97" s="19" t="s">
        <v>91</v>
      </c>
      <c r="L97" s="16" t="s">
        <v>59</v>
      </c>
      <c r="M97" s="19"/>
    </row>
    <row r="98" customFormat="false" ht="78" hidden="false" customHeight="true" outlineLevel="0" collapsed="false">
      <c r="A98" s="15" t="s">
        <v>716</v>
      </c>
      <c r="B98" s="16" t="s">
        <v>49</v>
      </c>
      <c r="C98" s="17" t="s">
        <v>709</v>
      </c>
      <c r="D98" s="17" t="s">
        <v>710</v>
      </c>
      <c r="E98" s="17" t="s">
        <v>717</v>
      </c>
      <c r="F98" s="17" t="s">
        <v>718</v>
      </c>
      <c r="G98" s="17" t="s">
        <v>719</v>
      </c>
      <c r="H98" s="17" t="s">
        <v>343</v>
      </c>
      <c r="I98" s="17" t="s">
        <v>720</v>
      </c>
      <c r="J98" s="17" t="s">
        <v>721</v>
      </c>
      <c r="K98" s="17" t="s">
        <v>108</v>
      </c>
      <c r="L98" s="16" t="s">
        <v>59</v>
      </c>
      <c r="M98" s="17"/>
    </row>
    <row r="99" customFormat="false" ht="78" hidden="false" customHeight="true" outlineLevel="0" collapsed="false">
      <c r="A99" s="18" t="s">
        <v>722</v>
      </c>
      <c r="B99" s="16" t="s">
        <v>49</v>
      </c>
      <c r="C99" s="19" t="s">
        <v>709</v>
      </c>
      <c r="D99" s="19" t="s">
        <v>710</v>
      </c>
      <c r="E99" s="19" t="s">
        <v>723</v>
      </c>
      <c r="F99" s="19" t="s">
        <v>724</v>
      </c>
      <c r="G99" s="19" t="s">
        <v>725</v>
      </c>
      <c r="H99" s="19" t="s">
        <v>343</v>
      </c>
      <c r="I99" s="19" t="s">
        <v>726</v>
      </c>
      <c r="J99" s="19" t="s">
        <v>727</v>
      </c>
      <c r="K99" s="19" t="s">
        <v>108</v>
      </c>
      <c r="L99" s="16" t="s">
        <v>59</v>
      </c>
      <c r="M99" s="19"/>
    </row>
    <row r="100" customFormat="false" ht="78" hidden="false" customHeight="true" outlineLevel="0" collapsed="false">
      <c r="A100" s="15" t="s">
        <v>728</v>
      </c>
      <c r="B100" s="16" t="s">
        <v>49</v>
      </c>
      <c r="C100" s="17" t="s">
        <v>709</v>
      </c>
      <c r="D100" s="17" t="s">
        <v>710</v>
      </c>
      <c r="E100" s="17" t="s">
        <v>729</v>
      </c>
      <c r="F100" s="17" t="s">
        <v>730</v>
      </c>
      <c r="G100" s="17" t="s">
        <v>731</v>
      </c>
      <c r="H100" s="17" t="s">
        <v>732</v>
      </c>
      <c r="I100" s="17" t="s">
        <v>733</v>
      </c>
      <c r="J100" s="17" t="s">
        <v>734</v>
      </c>
      <c r="K100" s="17" t="s">
        <v>108</v>
      </c>
      <c r="L100" s="16" t="s">
        <v>59</v>
      </c>
      <c r="M100" s="17"/>
    </row>
    <row r="101" customFormat="false" ht="78" hidden="false" customHeight="true" outlineLevel="0" collapsed="false">
      <c r="A101" s="18" t="s">
        <v>735</v>
      </c>
      <c r="B101" s="16" t="s">
        <v>49</v>
      </c>
      <c r="C101" s="19" t="s">
        <v>709</v>
      </c>
      <c r="D101" s="19" t="s">
        <v>710</v>
      </c>
      <c r="E101" s="19" t="s">
        <v>736</v>
      </c>
      <c r="F101" s="19" t="s">
        <v>737</v>
      </c>
      <c r="G101" s="19" t="s">
        <v>738</v>
      </c>
      <c r="H101" s="19" t="s">
        <v>739</v>
      </c>
      <c r="I101" s="19" t="s">
        <v>121</v>
      </c>
      <c r="J101" s="19" t="s">
        <v>740</v>
      </c>
      <c r="K101" s="19" t="s">
        <v>108</v>
      </c>
      <c r="L101" s="16" t="s">
        <v>59</v>
      </c>
      <c r="M101" s="19"/>
    </row>
  </sheetData>
  <autoFilter ref="A1:M101"/>
  <conditionalFormatting sqref="A2:M101">
    <cfRule type="expression" priority="2" aboveAverage="0" equalAverage="0" bottom="0" percent="0" rank="0" text="" dxfId="6">
      <formula>$L2="Done"</formula>
    </cfRule>
  </conditionalFormatting>
  <conditionalFormatting sqref="L2:L101">
    <cfRule type="expression" priority="3" aboveAverage="0" equalAverage="0" bottom="0" percent="0" rank="0" text="" dxfId="7">
      <formula>$L2="In progress"</formula>
    </cfRule>
    <cfRule type="expression" priority="4" aboveAverage="0" equalAverage="0" bottom="0" percent="0" rank="0" text="" dxfId="8">
      <formula>$L2="Stuck"</formula>
    </cfRule>
  </conditionalFormatting>
  <conditionalFormatting sqref="A2:A101">
    <cfRule type="expression" priority="5" aboveAverage="0" equalAverage="0" bottom="0" percent="0" rank="0" text="" dxfId="7">
      <formula>$L2="In progress"</formula>
    </cfRule>
  </conditionalFormatting>
  <dataValidations count="1">
    <dataValidation allowBlank="false" error="Pick a status" errorStyle="stop" errorTitle="Status" operator="between" showDropDown="false" showErrorMessage="false" showInputMessage="false" sqref="L2:L101" type="list">
      <formula1>"Not started,In progress,Done,Stuck"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72"/>
    <col collapsed="false" customWidth="true" hidden="false" outlineLevel="0" max="7" min="7" style="0" width="42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20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</row>
    <row r="2" customFormat="false" ht="78" hidden="false" customHeight="true" outlineLevel="0" collapsed="false">
      <c r="A2" s="15" t="s">
        <v>741</v>
      </c>
      <c r="B2" s="21" t="s">
        <v>742</v>
      </c>
      <c r="C2" s="17" t="s">
        <v>159</v>
      </c>
      <c r="D2" s="17" t="s">
        <v>160</v>
      </c>
      <c r="E2" s="17" t="s">
        <v>743</v>
      </c>
      <c r="F2" s="17" t="s">
        <v>744</v>
      </c>
      <c r="G2" s="17" t="s">
        <v>745</v>
      </c>
      <c r="H2" s="17" t="s">
        <v>746</v>
      </c>
      <c r="I2" s="17" t="s">
        <v>747</v>
      </c>
      <c r="J2" s="17" t="s">
        <v>748</v>
      </c>
      <c r="K2" s="17" t="s">
        <v>108</v>
      </c>
      <c r="L2" s="21" t="s">
        <v>59</v>
      </c>
      <c r="M2" s="17"/>
    </row>
    <row r="3" customFormat="false" ht="78" hidden="false" customHeight="true" outlineLevel="0" collapsed="false">
      <c r="A3" s="18" t="s">
        <v>749</v>
      </c>
      <c r="B3" s="21" t="s">
        <v>742</v>
      </c>
      <c r="C3" s="19" t="s">
        <v>159</v>
      </c>
      <c r="D3" s="19" t="s">
        <v>160</v>
      </c>
      <c r="E3" s="19" t="s">
        <v>750</v>
      </c>
      <c r="F3" s="19" t="s">
        <v>751</v>
      </c>
      <c r="G3" s="19" t="s">
        <v>752</v>
      </c>
      <c r="H3" s="19" t="s">
        <v>213</v>
      </c>
      <c r="I3" s="19" t="s">
        <v>753</v>
      </c>
      <c r="J3" s="19" t="s">
        <v>752</v>
      </c>
      <c r="K3" s="19" t="s">
        <v>108</v>
      </c>
      <c r="L3" s="21" t="s">
        <v>59</v>
      </c>
      <c r="M3" s="19"/>
    </row>
    <row r="4" customFormat="false" ht="78" hidden="false" customHeight="true" outlineLevel="0" collapsed="false">
      <c r="A4" s="15" t="s">
        <v>754</v>
      </c>
      <c r="B4" s="21" t="s">
        <v>742</v>
      </c>
      <c r="C4" s="17" t="s">
        <v>159</v>
      </c>
      <c r="D4" s="17" t="s">
        <v>160</v>
      </c>
      <c r="E4" s="17" t="s">
        <v>755</v>
      </c>
      <c r="F4" s="17" t="s">
        <v>756</v>
      </c>
      <c r="G4" s="17" t="s">
        <v>757</v>
      </c>
      <c r="H4" s="17" t="s">
        <v>758</v>
      </c>
      <c r="I4" s="17" t="s">
        <v>759</v>
      </c>
      <c r="J4" s="17" t="s">
        <v>760</v>
      </c>
      <c r="K4" s="17" t="s">
        <v>108</v>
      </c>
      <c r="L4" s="21" t="s">
        <v>59</v>
      </c>
      <c r="M4" s="17"/>
    </row>
    <row r="5" customFormat="false" ht="78" hidden="false" customHeight="true" outlineLevel="0" collapsed="false">
      <c r="A5" s="18" t="s">
        <v>761</v>
      </c>
      <c r="B5" s="21" t="s">
        <v>742</v>
      </c>
      <c r="C5" s="19" t="s">
        <v>159</v>
      </c>
      <c r="D5" s="19" t="s">
        <v>160</v>
      </c>
      <c r="E5" s="19" t="s">
        <v>762</v>
      </c>
      <c r="F5" s="19" t="s">
        <v>763</v>
      </c>
      <c r="G5" s="19" t="s">
        <v>764</v>
      </c>
      <c r="H5" s="19" t="s">
        <v>765</v>
      </c>
      <c r="I5" s="19" t="s">
        <v>766</v>
      </c>
      <c r="J5" s="19" t="s">
        <v>767</v>
      </c>
      <c r="K5" s="19" t="s">
        <v>108</v>
      </c>
      <c r="L5" s="21" t="s">
        <v>59</v>
      </c>
      <c r="M5" s="19"/>
    </row>
    <row r="6" customFormat="false" ht="78" hidden="false" customHeight="true" outlineLevel="0" collapsed="false">
      <c r="A6" s="15" t="s">
        <v>768</v>
      </c>
      <c r="B6" s="21" t="s">
        <v>742</v>
      </c>
      <c r="C6" s="17" t="s">
        <v>159</v>
      </c>
      <c r="D6" s="17" t="s">
        <v>160</v>
      </c>
      <c r="E6" s="17" t="s">
        <v>769</v>
      </c>
      <c r="F6" s="17" t="s">
        <v>770</v>
      </c>
      <c r="G6" s="17" t="s">
        <v>771</v>
      </c>
      <c r="H6" s="17" t="s">
        <v>772</v>
      </c>
      <c r="I6" s="17" t="s">
        <v>773</v>
      </c>
      <c r="J6" s="17" t="s">
        <v>774</v>
      </c>
      <c r="K6" s="17" t="s">
        <v>108</v>
      </c>
      <c r="L6" s="21" t="s">
        <v>59</v>
      </c>
      <c r="M6" s="17"/>
    </row>
    <row r="7" customFormat="false" ht="78" hidden="false" customHeight="true" outlineLevel="0" collapsed="false">
      <c r="A7" s="18" t="s">
        <v>775</v>
      </c>
      <c r="B7" s="21" t="s">
        <v>742</v>
      </c>
      <c r="C7" s="19" t="s">
        <v>159</v>
      </c>
      <c r="D7" s="19" t="s">
        <v>160</v>
      </c>
      <c r="E7" s="19" t="s">
        <v>776</v>
      </c>
      <c r="F7" s="19" t="s">
        <v>777</v>
      </c>
      <c r="G7" s="19" t="s">
        <v>778</v>
      </c>
      <c r="H7" s="19" t="s">
        <v>174</v>
      </c>
      <c r="I7" s="19" t="s">
        <v>779</v>
      </c>
      <c r="J7" s="19" t="s">
        <v>780</v>
      </c>
      <c r="K7" s="19" t="s">
        <v>108</v>
      </c>
      <c r="L7" s="21" t="s">
        <v>59</v>
      </c>
      <c r="M7" s="19"/>
    </row>
    <row r="8" customFormat="false" ht="78" hidden="false" customHeight="true" outlineLevel="0" collapsed="false">
      <c r="A8" s="15" t="s">
        <v>781</v>
      </c>
      <c r="B8" s="21" t="s">
        <v>742</v>
      </c>
      <c r="C8" s="17" t="s">
        <v>159</v>
      </c>
      <c r="D8" s="17" t="s">
        <v>160</v>
      </c>
      <c r="E8" s="17" t="s">
        <v>782</v>
      </c>
      <c r="F8" s="17" t="s">
        <v>783</v>
      </c>
      <c r="G8" s="17" t="s">
        <v>442</v>
      </c>
      <c r="H8" s="17" t="s">
        <v>784</v>
      </c>
      <c r="I8" s="17" t="s">
        <v>785</v>
      </c>
      <c r="J8" s="17" t="s">
        <v>786</v>
      </c>
      <c r="K8" s="17" t="s">
        <v>108</v>
      </c>
      <c r="L8" s="21" t="s">
        <v>59</v>
      </c>
      <c r="M8" s="17"/>
    </row>
    <row r="9" customFormat="false" ht="78" hidden="false" customHeight="true" outlineLevel="0" collapsed="false">
      <c r="A9" s="18" t="s">
        <v>787</v>
      </c>
      <c r="B9" s="21" t="s">
        <v>742</v>
      </c>
      <c r="C9" s="19" t="s">
        <v>233</v>
      </c>
      <c r="D9" s="19" t="s">
        <v>234</v>
      </c>
      <c r="E9" s="19" t="s">
        <v>788</v>
      </c>
      <c r="F9" s="19" t="s">
        <v>789</v>
      </c>
      <c r="G9" s="19" t="s">
        <v>790</v>
      </c>
      <c r="H9" s="19" t="s">
        <v>791</v>
      </c>
      <c r="I9" s="19" t="s">
        <v>792</v>
      </c>
      <c r="J9" s="19" t="s">
        <v>793</v>
      </c>
      <c r="K9" s="19" t="s">
        <v>108</v>
      </c>
      <c r="L9" s="21" t="s">
        <v>59</v>
      </c>
      <c r="M9" s="19"/>
    </row>
    <row r="10" customFormat="false" ht="78" hidden="false" customHeight="true" outlineLevel="0" collapsed="false">
      <c r="A10" s="15" t="s">
        <v>794</v>
      </c>
      <c r="B10" s="21" t="s">
        <v>742</v>
      </c>
      <c r="C10" s="17" t="s">
        <v>233</v>
      </c>
      <c r="D10" s="17" t="s">
        <v>234</v>
      </c>
      <c r="E10" s="17" t="s">
        <v>795</v>
      </c>
      <c r="F10" s="17" t="s">
        <v>796</v>
      </c>
      <c r="G10" s="17" t="s">
        <v>797</v>
      </c>
      <c r="H10" s="17" t="s">
        <v>193</v>
      </c>
      <c r="I10" s="17" t="s">
        <v>798</v>
      </c>
      <c r="J10" s="17" t="s">
        <v>799</v>
      </c>
      <c r="K10" s="17" t="s">
        <v>108</v>
      </c>
      <c r="L10" s="21" t="s">
        <v>59</v>
      </c>
      <c r="M10" s="17"/>
    </row>
    <row r="11" customFormat="false" ht="78" hidden="false" customHeight="true" outlineLevel="0" collapsed="false">
      <c r="A11" s="18" t="s">
        <v>800</v>
      </c>
      <c r="B11" s="21" t="s">
        <v>742</v>
      </c>
      <c r="C11" s="19" t="s">
        <v>233</v>
      </c>
      <c r="D11" s="19" t="s">
        <v>234</v>
      </c>
      <c r="E11" s="19" t="s">
        <v>801</v>
      </c>
      <c r="F11" s="19" t="s">
        <v>802</v>
      </c>
      <c r="G11" s="19" t="s">
        <v>437</v>
      </c>
      <c r="H11" s="19" t="s">
        <v>803</v>
      </c>
      <c r="I11" s="19" t="s">
        <v>804</v>
      </c>
      <c r="J11" s="19" t="s">
        <v>437</v>
      </c>
      <c r="K11" s="19" t="s">
        <v>108</v>
      </c>
      <c r="L11" s="21" t="s">
        <v>59</v>
      </c>
      <c r="M11" s="19"/>
    </row>
    <row r="12" customFormat="false" ht="78" hidden="false" customHeight="true" outlineLevel="0" collapsed="false">
      <c r="A12" s="15" t="s">
        <v>805</v>
      </c>
      <c r="B12" s="21" t="s">
        <v>742</v>
      </c>
      <c r="C12" s="17" t="s">
        <v>233</v>
      </c>
      <c r="D12" s="17" t="s">
        <v>234</v>
      </c>
      <c r="E12" s="17" t="s">
        <v>806</v>
      </c>
      <c r="F12" s="17" t="s">
        <v>807</v>
      </c>
      <c r="G12" s="17" t="s">
        <v>808</v>
      </c>
      <c r="H12" s="17" t="s">
        <v>809</v>
      </c>
      <c r="I12" s="17" t="s">
        <v>810</v>
      </c>
      <c r="J12" s="17" t="s">
        <v>811</v>
      </c>
      <c r="K12" s="17" t="s">
        <v>108</v>
      </c>
      <c r="L12" s="21" t="s">
        <v>59</v>
      </c>
      <c r="M12" s="17"/>
    </row>
    <row r="13" customFormat="false" ht="78" hidden="false" customHeight="true" outlineLevel="0" collapsed="false">
      <c r="A13" s="18" t="s">
        <v>812</v>
      </c>
      <c r="B13" s="21" t="s">
        <v>742</v>
      </c>
      <c r="C13" s="19" t="s">
        <v>233</v>
      </c>
      <c r="D13" s="19" t="s">
        <v>234</v>
      </c>
      <c r="E13" s="19" t="s">
        <v>813</v>
      </c>
      <c r="F13" s="19" t="s">
        <v>814</v>
      </c>
      <c r="G13" s="19" t="s">
        <v>815</v>
      </c>
      <c r="H13" s="19" t="s">
        <v>816</v>
      </c>
      <c r="I13" s="19" t="s">
        <v>817</v>
      </c>
      <c r="J13" s="19" t="s">
        <v>136</v>
      </c>
      <c r="K13" s="19" t="s">
        <v>108</v>
      </c>
      <c r="L13" s="21" t="s">
        <v>59</v>
      </c>
      <c r="M13" s="19"/>
    </row>
    <row r="14" customFormat="false" ht="78" hidden="false" customHeight="true" outlineLevel="0" collapsed="false">
      <c r="A14" s="15" t="s">
        <v>818</v>
      </c>
      <c r="B14" s="21" t="s">
        <v>742</v>
      </c>
      <c r="C14" s="17" t="s">
        <v>233</v>
      </c>
      <c r="D14" s="17" t="s">
        <v>234</v>
      </c>
      <c r="E14" s="17" t="s">
        <v>819</v>
      </c>
      <c r="F14" s="17" t="s">
        <v>820</v>
      </c>
      <c r="G14" s="17" t="s">
        <v>821</v>
      </c>
      <c r="H14" s="17" t="s">
        <v>822</v>
      </c>
      <c r="I14" s="17" t="s">
        <v>823</v>
      </c>
      <c r="J14" s="17" t="s">
        <v>824</v>
      </c>
      <c r="K14" s="17" t="s">
        <v>108</v>
      </c>
      <c r="L14" s="21" t="s">
        <v>59</v>
      </c>
      <c r="M14" s="17"/>
    </row>
    <row r="15" customFormat="false" ht="78" hidden="false" customHeight="true" outlineLevel="0" collapsed="false">
      <c r="A15" s="18" t="s">
        <v>825</v>
      </c>
      <c r="B15" s="21" t="s">
        <v>742</v>
      </c>
      <c r="C15" s="19" t="s">
        <v>233</v>
      </c>
      <c r="D15" s="19" t="s">
        <v>234</v>
      </c>
      <c r="E15" s="19" t="s">
        <v>826</v>
      </c>
      <c r="F15" s="19" t="s">
        <v>827</v>
      </c>
      <c r="G15" s="19" t="s">
        <v>828</v>
      </c>
      <c r="H15" s="19" t="s">
        <v>592</v>
      </c>
      <c r="I15" s="19" t="s">
        <v>829</v>
      </c>
      <c r="J15" s="19" t="s">
        <v>594</v>
      </c>
      <c r="K15" s="19" t="s">
        <v>108</v>
      </c>
      <c r="L15" s="21" t="s">
        <v>59</v>
      </c>
      <c r="M15" s="19"/>
    </row>
    <row r="16" customFormat="false" ht="78" hidden="false" customHeight="true" outlineLevel="0" collapsed="false">
      <c r="A16" s="15" t="s">
        <v>830</v>
      </c>
      <c r="B16" s="21" t="s">
        <v>742</v>
      </c>
      <c r="C16" s="17" t="s">
        <v>233</v>
      </c>
      <c r="D16" s="17" t="s">
        <v>234</v>
      </c>
      <c r="E16" s="17" t="s">
        <v>831</v>
      </c>
      <c r="F16" s="17" t="s">
        <v>832</v>
      </c>
      <c r="G16" s="17" t="s">
        <v>833</v>
      </c>
      <c r="H16" s="17" t="s">
        <v>391</v>
      </c>
      <c r="I16" s="17" t="s">
        <v>834</v>
      </c>
      <c r="J16" s="17" t="s">
        <v>835</v>
      </c>
      <c r="K16" s="17" t="s">
        <v>836</v>
      </c>
      <c r="L16" s="21" t="s">
        <v>59</v>
      </c>
      <c r="M16" s="17"/>
    </row>
    <row r="17" customFormat="false" ht="78" hidden="false" customHeight="true" outlineLevel="0" collapsed="false">
      <c r="A17" s="18" t="s">
        <v>837</v>
      </c>
      <c r="B17" s="21" t="s">
        <v>742</v>
      </c>
      <c r="C17" s="19" t="s">
        <v>283</v>
      </c>
      <c r="D17" s="19" t="s">
        <v>284</v>
      </c>
      <c r="E17" s="19" t="s">
        <v>838</v>
      </c>
      <c r="F17" s="19" t="s">
        <v>839</v>
      </c>
      <c r="G17" s="19" t="s">
        <v>840</v>
      </c>
      <c r="H17" s="19" t="s">
        <v>841</v>
      </c>
      <c r="I17" s="19" t="s">
        <v>842</v>
      </c>
      <c r="J17" s="19" t="s">
        <v>843</v>
      </c>
      <c r="K17" s="19" t="s">
        <v>108</v>
      </c>
      <c r="L17" s="21" t="s">
        <v>59</v>
      </c>
      <c r="M17" s="19"/>
    </row>
    <row r="18" customFormat="false" ht="78" hidden="false" customHeight="true" outlineLevel="0" collapsed="false">
      <c r="A18" s="15" t="s">
        <v>844</v>
      </c>
      <c r="B18" s="21" t="s">
        <v>742</v>
      </c>
      <c r="C18" s="17" t="s">
        <v>283</v>
      </c>
      <c r="D18" s="17" t="s">
        <v>284</v>
      </c>
      <c r="E18" s="17" t="s">
        <v>845</v>
      </c>
      <c r="F18" s="17" t="s">
        <v>846</v>
      </c>
      <c r="G18" s="17" t="s">
        <v>847</v>
      </c>
      <c r="H18" s="17" t="s">
        <v>343</v>
      </c>
      <c r="I18" s="17" t="s">
        <v>325</v>
      </c>
      <c r="J18" s="17" t="s">
        <v>848</v>
      </c>
      <c r="K18" s="17" t="s">
        <v>108</v>
      </c>
      <c r="L18" s="21" t="s">
        <v>59</v>
      </c>
      <c r="M18" s="17"/>
    </row>
    <row r="19" customFormat="false" ht="78" hidden="false" customHeight="true" outlineLevel="0" collapsed="false">
      <c r="A19" s="18" t="s">
        <v>849</v>
      </c>
      <c r="B19" s="21" t="s">
        <v>742</v>
      </c>
      <c r="C19" s="19" t="s">
        <v>283</v>
      </c>
      <c r="D19" s="19" t="s">
        <v>284</v>
      </c>
      <c r="E19" s="19" t="s">
        <v>850</v>
      </c>
      <c r="F19" s="19" t="s">
        <v>851</v>
      </c>
      <c r="G19" s="19" t="s">
        <v>852</v>
      </c>
      <c r="H19" s="19" t="s">
        <v>524</v>
      </c>
      <c r="I19" s="19" t="s">
        <v>853</v>
      </c>
      <c r="J19" s="19" t="s">
        <v>854</v>
      </c>
      <c r="K19" s="19" t="s">
        <v>108</v>
      </c>
      <c r="L19" s="21" t="s">
        <v>59</v>
      </c>
      <c r="M19" s="19"/>
    </row>
    <row r="20" customFormat="false" ht="78" hidden="false" customHeight="true" outlineLevel="0" collapsed="false">
      <c r="A20" s="15" t="s">
        <v>855</v>
      </c>
      <c r="B20" s="21" t="s">
        <v>742</v>
      </c>
      <c r="C20" s="17" t="s">
        <v>283</v>
      </c>
      <c r="D20" s="17" t="s">
        <v>284</v>
      </c>
      <c r="E20" s="17" t="s">
        <v>856</v>
      </c>
      <c r="F20" s="17" t="s">
        <v>857</v>
      </c>
      <c r="G20" s="17" t="s">
        <v>858</v>
      </c>
      <c r="H20" s="17" t="s">
        <v>308</v>
      </c>
      <c r="I20" s="17" t="s">
        <v>859</v>
      </c>
      <c r="J20" s="17" t="s">
        <v>860</v>
      </c>
      <c r="K20" s="17" t="s">
        <v>108</v>
      </c>
      <c r="L20" s="21" t="s">
        <v>59</v>
      </c>
      <c r="M20" s="17"/>
    </row>
    <row r="21" customFormat="false" ht="78" hidden="false" customHeight="true" outlineLevel="0" collapsed="false">
      <c r="A21" s="18" t="s">
        <v>861</v>
      </c>
      <c r="B21" s="21" t="s">
        <v>742</v>
      </c>
      <c r="C21" s="19" t="s">
        <v>283</v>
      </c>
      <c r="D21" s="19" t="s">
        <v>284</v>
      </c>
      <c r="E21" s="19" t="s">
        <v>862</v>
      </c>
      <c r="F21" s="19" t="s">
        <v>863</v>
      </c>
      <c r="G21" s="19" t="s">
        <v>864</v>
      </c>
      <c r="H21" s="19" t="s">
        <v>865</v>
      </c>
      <c r="I21" s="19" t="s">
        <v>866</v>
      </c>
      <c r="J21" s="19" t="s">
        <v>867</v>
      </c>
      <c r="K21" s="19" t="s">
        <v>108</v>
      </c>
      <c r="L21" s="21" t="s">
        <v>59</v>
      </c>
      <c r="M21" s="19"/>
    </row>
    <row r="22" customFormat="false" ht="78" hidden="false" customHeight="true" outlineLevel="0" collapsed="false">
      <c r="A22" s="15" t="s">
        <v>868</v>
      </c>
      <c r="B22" s="21" t="s">
        <v>742</v>
      </c>
      <c r="C22" s="17" t="s">
        <v>319</v>
      </c>
      <c r="D22" s="17" t="s">
        <v>320</v>
      </c>
      <c r="E22" s="17" t="s">
        <v>869</v>
      </c>
      <c r="F22" s="17" t="s">
        <v>870</v>
      </c>
      <c r="G22" s="17" t="s">
        <v>871</v>
      </c>
      <c r="H22" s="17" t="s">
        <v>872</v>
      </c>
      <c r="I22" s="17" t="s">
        <v>873</v>
      </c>
      <c r="J22" s="17" t="s">
        <v>874</v>
      </c>
      <c r="K22" s="17" t="s">
        <v>108</v>
      </c>
      <c r="L22" s="21" t="s">
        <v>59</v>
      </c>
      <c r="M22" s="17"/>
    </row>
    <row r="23" customFormat="false" ht="78" hidden="false" customHeight="true" outlineLevel="0" collapsed="false">
      <c r="A23" s="18" t="s">
        <v>875</v>
      </c>
      <c r="B23" s="21" t="s">
        <v>742</v>
      </c>
      <c r="C23" s="19" t="s">
        <v>319</v>
      </c>
      <c r="D23" s="19" t="s">
        <v>320</v>
      </c>
      <c r="E23" s="19" t="s">
        <v>876</v>
      </c>
      <c r="F23" s="19" t="s">
        <v>877</v>
      </c>
      <c r="G23" s="19" t="s">
        <v>878</v>
      </c>
      <c r="H23" s="19" t="s">
        <v>879</v>
      </c>
      <c r="I23" s="19" t="s">
        <v>880</v>
      </c>
      <c r="J23" s="19" t="s">
        <v>224</v>
      </c>
      <c r="K23" s="19" t="s">
        <v>108</v>
      </c>
      <c r="L23" s="21" t="s">
        <v>59</v>
      </c>
      <c r="M23" s="19"/>
    </row>
    <row r="24" customFormat="false" ht="78" hidden="false" customHeight="true" outlineLevel="0" collapsed="false">
      <c r="A24" s="15" t="s">
        <v>881</v>
      </c>
      <c r="B24" s="21" t="s">
        <v>742</v>
      </c>
      <c r="C24" s="17" t="s">
        <v>319</v>
      </c>
      <c r="D24" s="17" t="s">
        <v>320</v>
      </c>
      <c r="E24" s="17" t="s">
        <v>882</v>
      </c>
      <c r="F24" s="17" t="s">
        <v>883</v>
      </c>
      <c r="G24" s="17" t="s">
        <v>884</v>
      </c>
      <c r="H24" s="17" t="s">
        <v>885</v>
      </c>
      <c r="I24" s="17" t="s">
        <v>214</v>
      </c>
      <c r="J24" s="17" t="s">
        <v>886</v>
      </c>
      <c r="K24" s="17" t="s">
        <v>108</v>
      </c>
      <c r="L24" s="21" t="s">
        <v>59</v>
      </c>
      <c r="M24" s="17"/>
    </row>
    <row r="25" customFormat="false" ht="78" hidden="false" customHeight="true" outlineLevel="0" collapsed="false">
      <c r="A25" s="18" t="s">
        <v>887</v>
      </c>
      <c r="B25" s="21" t="s">
        <v>742</v>
      </c>
      <c r="C25" s="19" t="s">
        <v>319</v>
      </c>
      <c r="D25" s="19" t="s">
        <v>320</v>
      </c>
      <c r="E25" s="19" t="s">
        <v>888</v>
      </c>
      <c r="F25" s="19" t="s">
        <v>889</v>
      </c>
      <c r="G25" s="19" t="s">
        <v>890</v>
      </c>
      <c r="H25" s="19" t="s">
        <v>891</v>
      </c>
      <c r="I25" s="19" t="s">
        <v>892</v>
      </c>
      <c r="J25" s="19" t="s">
        <v>893</v>
      </c>
      <c r="K25" s="19" t="s">
        <v>894</v>
      </c>
      <c r="L25" s="21" t="s">
        <v>59</v>
      </c>
      <c r="M25" s="19"/>
    </row>
    <row r="26" customFormat="false" ht="78" hidden="false" customHeight="true" outlineLevel="0" collapsed="false">
      <c r="A26" s="15" t="s">
        <v>895</v>
      </c>
      <c r="B26" s="21" t="s">
        <v>742</v>
      </c>
      <c r="C26" s="17" t="s">
        <v>319</v>
      </c>
      <c r="D26" s="17" t="s">
        <v>320</v>
      </c>
      <c r="E26" s="17" t="s">
        <v>896</v>
      </c>
      <c r="F26" s="17" t="s">
        <v>897</v>
      </c>
      <c r="G26" s="17" t="s">
        <v>898</v>
      </c>
      <c r="H26" s="17" t="s">
        <v>899</v>
      </c>
      <c r="I26" s="17" t="s">
        <v>804</v>
      </c>
      <c r="J26" s="17" t="s">
        <v>900</v>
      </c>
      <c r="K26" s="17" t="s">
        <v>91</v>
      </c>
      <c r="L26" s="21" t="s">
        <v>59</v>
      </c>
      <c r="M26" s="17"/>
    </row>
    <row r="27" customFormat="false" ht="78" hidden="false" customHeight="true" outlineLevel="0" collapsed="false">
      <c r="A27" s="18" t="s">
        <v>901</v>
      </c>
      <c r="B27" s="21" t="s">
        <v>742</v>
      </c>
      <c r="C27" s="19" t="s">
        <v>353</v>
      </c>
      <c r="D27" s="19" t="s">
        <v>354</v>
      </c>
      <c r="E27" s="19" t="s">
        <v>902</v>
      </c>
      <c r="F27" s="19" t="s">
        <v>903</v>
      </c>
      <c r="G27" s="19" t="s">
        <v>904</v>
      </c>
      <c r="H27" s="19" t="s">
        <v>905</v>
      </c>
      <c r="I27" s="19" t="s">
        <v>906</v>
      </c>
      <c r="J27" s="19" t="s">
        <v>907</v>
      </c>
      <c r="K27" s="19" t="s">
        <v>108</v>
      </c>
      <c r="L27" s="21" t="s">
        <v>59</v>
      </c>
      <c r="M27" s="19"/>
    </row>
    <row r="28" customFormat="false" ht="78" hidden="false" customHeight="true" outlineLevel="0" collapsed="false">
      <c r="A28" s="15" t="s">
        <v>908</v>
      </c>
      <c r="B28" s="21" t="s">
        <v>742</v>
      </c>
      <c r="C28" s="17" t="s">
        <v>353</v>
      </c>
      <c r="D28" s="17" t="s">
        <v>354</v>
      </c>
      <c r="E28" s="17" t="s">
        <v>909</v>
      </c>
      <c r="F28" s="17" t="s">
        <v>910</v>
      </c>
      <c r="G28" s="17" t="s">
        <v>911</v>
      </c>
      <c r="H28" s="17" t="s">
        <v>912</v>
      </c>
      <c r="I28" s="17" t="s">
        <v>421</v>
      </c>
      <c r="J28" s="17" t="s">
        <v>913</v>
      </c>
      <c r="K28" s="17" t="s">
        <v>108</v>
      </c>
      <c r="L28" s="21" t="s">
        <v>59</v>
      </c>
      <c r="M28" s="17"/>
    </row>
    <row r="29" customFormat="false" ht="78" hidden="false" customHeight="true" outlineLevel="0" collapsed="false">
      <c r="A29" s="18" t="s">
        <v>914</v>
      </c>
      <c r="B29" s="21" t="s">
        <v>742</v>
      </c>
      <c r="C29" s="19" t="s">
        <v>353</v>
      </c>
      <c r="D29" s="19" t="s">
        <v>354</v>
      </c>
      <c r="E29" s="19" t="s">
        <v>915</v>
      </c>
      <c r="F29" s="19" t="s">
        <v>916</v>
      </c>
      <c r="G29" s="19" t="s">
        <v>917</v>
      </c>
      <c r="H29" s="19" t="s">
        <v>918</v>
      </c>
      <c r="I29" s="19" t="s">
        <v>919</v>
      </c>
      <c r="J29" s="19" t="s">
        <v>920</v>
      </c>
      <c r="K29" s="19" t="s">
        <v>108</v>
      </c>
      <c r="L29" s="21" t="s">
        <v>59</v>
      </c>
      <c r="M29" s="19"/>
    </row>
    <row r="30" customFormat="false" ht="78" hidden="false" customHeight="true" outlineLevel="0" collapsed="false">
      <c r="A30" s="15" t="s">
        <v>921</v>
      </c>
      <c r="B30" s="21" t="s">
        <v>742</v>
      </c>
      <c r="C30" s="17" t="s">
        <v>353</v>
      </c>
      <c r="D30" s="17" t="s">
        <v>354</v>
      </c>
      <c r="E30" s="17" t="s">
        <v>922</v>
      </c>
      <c r="F30" s="17" t="s">
        <v>923</v>
      </c>
      <c r="G30" s="17" t="s">
        <v>924</v>
      </c>
      <c r="H30" s="17" t="s">
        <v>384</v>
      </c>
      <c r="I30" s="17" t="s">
        <v>925</v>
      </c>
      <c r="J30" s="17" t="s">
        <v>926</v>
      </c>
      <c r="K30" s="17" t="s">
        <v>108</v>
      </c>
      <c r="L30" s="21" t="s">
        <v>59</v>
      </c>
      <c r="M30" s="17"/>
    </row>
    <row r="31" customFormat="false" ht="78" hidden="false" customHeight="true" outlineLevel="0" collapsed="false">
      <c r="A31" s="18" t="s">
        <v>927</v>
      </c>
      <c r="B31" s="21" t="s">
        <v>742</v>
      </c>
      <c r="C31" s="19" t="s">
        <v>353</v>
      </c>
      <c r="D31" s="19" t="s">
        <v>354</v>
      </c>
      <c r="E31" s="19" t="s">
        <v>928</v>
      </c>
      <c r="F31" s="19" t="s">
        <v>929</v>
      </c>
      <c r="G31" s="19" t="s">
        <v>930</v>
      </c>
      <c r="H31" s="19" t="s">
        <v>931</v>
      </c>
      <c r="I31" s="19" t="s">
        <v>925</v>
      </c>
      <c r="J31" s="19" t="s">
        <v>932</v>
      </c>
      <c r="K31" s="19" t="s">
        <v>108</v>
      </c>
      <c r="L31" s="21" t="s">
        <v>59</v>
      </c>
      <c r="M31" s="19"/>
    </row>
    <row r="32" customFormat="false" ht="78" hidden="false" customHeight="true" outlineLevel="0" collapsed="false">
      <c r="A32" s="15" t="s">
        <v>933</v>
      </c>
      <c r="B32" s="21" t="s">
        <v>742</v>
      </c>
      <c r="C32" s="17" t="s">
        <v>353</v>
      </c>
      <c r="D32" s="17" t="s">
        <v>354</v>
      </c>
      <c r="E32" s="17" t="s">
        <v>934</v>
      </c>
      <c r="F32" s="17" t="s">
        <v>935</v>
      </c>
      <c r="G32" s="17" t="s">
        <v>936</v>
      </c>
      <c r="H32" s="17" t="s">
        <v>383</v>
      </c>
      <c r="I32" s="17" t="s">
        <v>937</v>
      </c>
      <c r="J32" s="17" t="s">
        <v>938</v>
      </c>
      <c r="K32" s="17" t="s">
        <v>108</v>
      </c>
      <c r="L32" s="21" t="s">
        <v>59</v>
      </c>
      <c r="M32" s="17"/>
    </row>
    <row r="33" customFormat="false" ht="78" hidden="false" customHeight="true" outlineLevel="0" collapsed="false">
      <c r="A33" s="18" t="s">
        <v>939</v>
      </c>
      <c r="B33" s="21" t="s">
        <v>742</v>
      </c>
      <c r="C33" s="19" t="s">
        <v>402</v>
      </c>
      <c r="D33" s="19" t="s">
        <v>403</v>
      </c>
      <c r="E33" s="19" t="s">
        <v>940</v>
      </c>
      <c r="F33" s="19" t="s">
        <v>941</v>
      </c>
      <c r="G33" s="19" t="s">
        <v>942</v>
      </c>
      <c r="H33" s="19" t="s">
        <v>943</v>
      </c>
      <c r="I33" s="19" t="s">
        <v>944</v>
      </c>
      <c r="J33" s="19" t="s">
        <v>945</v>
      </c>
      <c r="K33" s="19" t="s">
        <v>108</v>
      </c>
      <c r="L33" s="21" t="s">
        <v>59</v>
      </c>
      <c r="M33" s="19"/>
    </row>
    <row r="34" customFormat="false" ht="78" hidden="false" customHeight="true" outlineLevel="0" collapsed="false">
      <c r="A34" s="15" t="s">
        <v>946</v>
      </c>
      <c r="B34" s="21" t="s">
        <v>742</v>
      </c>
      <c r="C34" s="17" t="s">
        <v>402</v>
      </c>
      <c r="D34" s="17" t="s">
        <v>403</v>
      </c>
      <c r="E34" s="17" t="s">
        <v>947</v>
      </c>
      <c r="F34" s="17" t="s">
        <v>948</v>
      </c>
      <c r="G34" s="17" t="s">
        <v>949</v>
      </c>
      <c r="H34" s="17" t="s">
        <v>950</v>
      </c>
      <c r="I34" s="17" t="s">
        <v>951</v>
      </c>
      <c r="J34" s="17" t="s">
        <v>952</v>
      </c>
      <c r="K34" s="17" t="s">
        <v>108</v>
      </c>
      <c r="L34" s="21" t="s">
        <v>59</v>
      </c>
      <c r="M34" s="17"/>
    </row>
    <row r="35" customFormat="false" ht="78" hidden="false" customHeight="true" outlineLevel="0" collapsed="false">
      <c r="A35" s="18" t="s">
        <v>953</v>
      </c>
      <c r="B35" s="21" t="s">
        <v>742</v>
      </c>
      <c r="C35" s="19" t="s">
        <v>402</v>
      </c>
      <c r="D35" s="19" t="s">
        <v>403</v>
      </c>
      <c r="E35" s="19" t="s">
        <v>954</v>
      </c>
      <c r="F35" s="19" t="s">
        <v>955</v>
      </c>
      <c r="G35" s="19" t="s">
        <v>956</v>
      </c>
      <c r="H35" s="19" t="s">
        <v>343</v>
      </c>
      <c r="I35" s="19" t="s">
        <v>957</v>
      </c>
      <c r="J35" s="19" t="s">
        <v>958</v>
      </c>
      <c r="K35" s="19" t="s">
        <v>108</v>
      </c>
      <c r="L35" s="21" t="s">
        <v>59</v>
      </c>
      <c r="M35" s="19"/>
    </row>
    <row r="36" customFormat="false" ht="78" hidden="false" customHeight="true" outlineLevel="0" collapsed="false">
      <c r="A36" s="15" t="s">
        <v>959</v>
      </c>
      <c r="B36" s="21" t="s">
        <v>742</v>
      </c>
      <c r="C36" s="17" t="s">
        <v>402</v>
      </c>
      <c r="D36" s="17" t="s">
        <v>403</v>
      </c>
      <c r="E36" s="17" t="s">
        <v>960</v>
      </c>
      <c r="F36" s="17" t="s">
        <v>961</v>
      </c>
      <c r="G36" s="17" t="s">
        <v>962</v>
      </c>
      <c r="H36" s="17" t="s">
        <v>963</v>
      </c>
      <c r="I36" s="17" t="s">
        <v>964</v>
      </c>
      <c r="J36" s="17" t="s">
        <v>965</v>
      </c>
      <c r="K36" s="17" t="s">
        <v>108</v>
      </c>
      <c r="L36" s="21" t="s">
        <v>59</v>
      </c>
      <c r="M36" s="17"/>
    </row>
    <row r="37" customFormat="false" ht="78" hidden="false" customHeight="true" outlineLevel="0" collapsed="false">
      <c r="A37" s="18" t="s">
        <v>966</v>
      </c>
      <c r="B37" s="21" t="s">
        <v>742</v>
      </c>
      <c r="C37" s="19" t="s">
        <v>402</v>
      </c>
      <c r="D37" s="19" t="s">
        <v>403</v>
      </c>
      <c r="E37" s="19" t="s">
        <v>967</v>
      </c>
      <c r="F37" s="19" t="s">
        <v>968</v>
      </c>
      <c r="G37" s="19" t="s">
        <v>406</v>
      </c>
      <c r="H37" s="19" t="s">
        <v>969</v>
      </c>
      <c r="I37" s="19" t="s">
        <v>853</v>
      </c>
      <c r="J37" s="19" t="s">
        <v>970</v>
      </c>
      <c r="K37" s="19" t="s">
        <v>108</v>
      </c>
      <c r="L37" s="21" t="s">
        <v>59</v>
      </c>
      <c r="M37" s="19"/>
    </row>
    <row r="38" customFormat="false" ht="78" hidden="false" customHeight="true" outlineLevel="0" collapsed="false">
      <c r="A38" s="15" t="s">
        <v>971</v>
      </c>
      <c r="B38" s="21" t="s">
        <v>742</v>
      </c>
      <c r="C38" s="17" t="s">
        <v>424</v>
      </c>
      <c r="D38" s="17" t="s">
        <v>425</v>
      </c>
      <c r="E38" s="17" t="s">
        <v>972</v>
      </c>
      <c r="F38" s="17" t="s">
        <v>973</v>
      </c>
      <c r="G38" s="17" t="s">
        <v>974</v>
      </c>
      <c r="H38" s="17" t="s">
        <v>975</v>
      </c>
      <c r="I38" s="17" t="s">
        <v>976</v>
      </c>
      <c r="J38" s="17" t="s">
        <v>435</v>
      </c>
      <c r="K38" s="17" t="s">
        <v>108</v>
      </c>
      <c r="L38" s="21" t="s">
        <v>59</v>
      </c>
      <c r="M38" s="17"/>
    </row>
    <row r="39" customFormat="false" ht="78" hidden="false" customHeight="true" outlineLevel="0" collapsed="false">
      <c r="A39" s="18" t="s">
        <v>977</v>
      </c>
      <c r="B39" s="21" t="s">
        <v>742</v>
      </c>
      <c r="C39" s="19" t="s">
        <v>424</v>
      </c>
      <c r="D39" s="19" t="s">
        <v>425</v>
      </c>
      <c r="E39" s="19" t="s">
        <v>978</v>
      </c>
      <c r="F39" s="19" t="s">
        <v>979</v>
      </c>
      <c r="G39" s="19" t="s">
        <v>980</v>
      </c>
      <c r="H39" s="19" t="s">
        <v>981</v>
      </c>
      <c r="I39" s="19" t="s">
        <v>859</v>
      </c>
      <c r="J39" s="19" t="s">
        <v>810</v>
      </c>
      <c r="K39" s="19" t="s">
        <v>108</v>
      </c>
      <c r="L39" s="21" t="s">
        <v>59</v>
      </c>
      <c r="M39" s="19"/>
    </row>
    <row r="40" customFormat="false" ht="78" hidden="false" customHeight="true" outlineLevel="0" collapsed="false">
      <c r="A40" s="15" t="s">
        <v>982</v>
      </c>
      <c r="B40" s="21" t="s">
        <v>742</v>
      </c>
      <c r="C40" s="17" t="s">
        <v>424</v>
      </c>
      <c r="D40" s="17" t="s">
        <v>425</v>
      </c>
      <c r="E40" s="17" t="s">
        <v>983</v>
      </c>
      <c r="F40" s="17" t="s">
        <v>984</v>
      </c>
      <c r="G40" s="17" t="s">
        <v>985</v>
      </c>
      <c r="H40" s="17" t="s">
        <v>986</v>
      </c>
      <c r="I40" s="17" t="s">
        <v>987</v>
      </c>
      <c r="J40" s="17" t="s">
        <v>988</v>
      </c>
      <c r="K40" s="17" t="s">
        <v>108</v>
      </c>
      <c r="L40" s="21" t="s">
        <v>59</v>
      </c>
      <c r="M40" s="17"/>
    </row>
    <row r="41" customFormat="false" ht="78" hidden="false" customHeight="true" outlineLevel="0" collapsed="false">
      <c r="A41" s="18" t="s">
        <v>989</v>
      </c>
      <c r="B41" s="21" t="s">
        <v>742</v>
      </c>
      <c r="C41" s="19" t="s">
        <v>424</v>
      </c>
      <c r="D41" s="19" t="s">
        <v>425</v>
      </c>
      <c r="E41" s="19" t="s">
        <v>990</v>
      </c>
      <c r="F41" s="19" t="s">
        <v>991</v>
      </c>
      <c r="G41" s="19" t="s">
        <v>992</v>
      </c>
      <c r="H41" s="19" t="s">
        <v>993</v>
      </c>
      <c r="I41" s="19" t="s">
        <v>994</v>
      </c>
      <c r="J41" s="19" t="s">
        <v>995</v>
      </c>
      <c r="K41" s="19" t="s">
        <v>108</v>
      </c>
      <c r="L41" s="21" t="s">
        <v>59</v>
      </c>
      <c r="M41" s="19"/>
    </row>
    <row r="42" customFormat="false" ht="78" hidden="false" customHeight="true" outlineLevel="0" collapsed="false">
      <c r="A42" s="15" t="s">
        <v>996</v>
      </c>
      <c r="B42" s="21" t="s">
        <v>742</v>
      </c>
      <c r="C42" s="17" t="s">
        <v>424</v>
      </c>
      <c r="D42" s="17" t="s">
        <v>425</v>
      </c>
      <c r="E42" s="17" t="s">
        <v>997</v>
      </c>
      <c r="F42" s="17" t="s">
        <v>998</v>
      </c>
      <c r="G42" s="17" t="s">
        <v>999</v>
      </c>
      <c r="H42" s="17" t="s">
        <v>120</v>
      </c>
      <c r="I42" s="17" t="s">
        <v>449</v>
      </c>
      <c r="J42" s="17" t="s">
        <v>450</v>
      </c>
      <c r="K42" s="17" t="s">
        <v>108</v>
      </c>
      <c r="L42" s="21" t="s">
        <v>59</v>
      </c>
      <c r="M42" s="17"/>
    </row>
    <row r="43" customFormat="false" ht="78" hidden="false" customHeight="true" outlineLevel="0" collapsed="false">
      <c r="A43" s="18" t="s">
        <v>1000</v>
      </c>
      <c r="B43" s="21" t="s">
        <v>742</v>
      </c>
      <c r="C43" s="19" t="s">
        <v>452</v>
      </c>
      <c r="D43" s="19" t="s">
        <v>453</v>
      </c>
      <c r="E43" s="19" t="s">
        <v>1001</v>
      </c>
      <c r="F43" s="19" t="s">
        <v>1002</v>
      </c>
      <c r="G43" s="19" t="s">
        <v>1003</v>
      </c>
      <c r="H43" s="19" t="s">
        <v>1004</v>
      </c>
      <c r="I43" s="19" t="s">
        <v>859</v>
      </c>
      <c r="J43" s="19" t="s">
        <v>1005</v>
      </c>
      <c r="K43" s="19" t="s">
        <v>108</v>
      </c>
      <c r="L43" s="21" t="s">
        <v>59</v>
      </c>
      <c r="M43" s="19"/>
    </row>
    <row r="44" customFormat="false" ht="78" hidden="false" customHeight="true" outlineLevel="0" collapsed="false">
      <c r="A44" s="15" t="s">
        <v>1006</v>
      </c>
      <c r="B44" s="21" t="s">
        <v>742</v>
      </c>
      <c r="C44" s="17" t="s">
        <v>452</v>
      </c>
      <c r="D44" s="17" t="s">
        <v>453</v>
      </c>
      <c r="E44" s="17" t="s">
        <v>1007</v>
      </c>
      <c r="F44" s="17" t="s">
        <v>1008</v>
      </c>
      <c r="G44" s="17" t="s">
        <v>1009</v>
      </c>
      <c r="H44" s="17" t="s">
        <v>1010</v>
      </c>
      <c r="I44" s="17" t="s">
        <v>1011</v>
      </c>
      <c r="J44" s="17" t="s">
        <v>1012</v>
      </c>
      <c r="K44" s="17" t="s">
        <v>108</v>
      </c>
      <c r="L44" s="21" t="s">
        <v>59</v>
      </c>
      <c r="M44" s="17"/>
    </row>
    <row r="45" customFormat="false" ht="78" hidden="false" customHeight="true" outlineLevel="0" collapsed="false">
      <c r="A45" s="18" t="s">
        <v>1013</v>
      </c>
      <c r="B45" s="21" t="s">
        <v>742</v>
      </c>
      <c r="C45" s="19" t="s">
        <v>452</v>
      </c>
      <c r="D45" s="19" t="s">
        <v>453</v>
      </c>
      <c r="E45" s="19" t="s">
        <v>1014</v>
      </c>
      <c r="F45" s="19" t="s">
        <v>1015</v>
      </c>
      <c r="G45" s="19" t="s">
        <v>1016</v>
      </c>
      <c r="H45" s="19" t="s">
        <v>120</v>
      </c>
      <c r="I45" s="19" t="s">
        <v>1017</v>
      </c>
      <c r="J45" s="19" t="s">
        <v>1018</v>
      </c>
      <c r="K45" s="19" t="s">
        <v>108</v>
      </c>
      <c r="L45" s="21" t="s">
        <v>59</v>
      </c>
      <c r="M45" s="19"/>
    </row>
    <row r="46" customFormat="false" ht="78" hidden="false" customHeight="true" outlineLevel="0" collapsed="false">
      <c r="A46" s="15" t="s">
        <v>1019</v>
      </c>
      <c r="B46" s="21" t="s">
        <v>742</v>
      </c>
      <c r="C46" s="17" t="s">
        <v>452</v>
      </c>
      <c r="D46" s="17" t="s">
        <v>453</v>
      </c>
      <c r="E46" s="17" t="s">
        <v>1020</v>
      </c>
      <c r="F46" s="17" t="s">
        <v>1021</v>
      </c>
      <c r="G46" s="17" t="s">
        <v>1022</v>
      </c>
      <c r="H46" s="17" t="s">
        <v>343</v>
      </c>
      <c r="I46" s="17" t="s">
        <v>1023</v>
      </c>
      <c r="J46" s="17" t="s">
        <v>1024</v>
      </c>
      <c r="K46" s="17" t="s">
        <v>108</v>
      </c>
      <c r="L46" s="21" t="s">
        <v>59</v>
      </c>
      <c r="M46" s="17"/>
    </row>
    <row r="47" customFormat="false" ht="78" hidden="false" customHeight="true" outlineLevel="0" collapsed="false">
      <c r="A47" s="18" t="s">
        <v>1025</v>
      </c>
      <c r="B47" s="21" t="s">
        <v>742</v>
      </c>
      <c r="C47" s="19" t="s">
        <v>473</v>
      </c>
      <c r="D47" s="19" t="s">
        <v>474</v>
      </c>
      <c r="E47" s="19" t="s">
        <v>1026</v>
      </c>
      <c r="F47" s="19" t="s">
        <v>1027</v>
      </c>
      <c r="G47" s="19" t="s">
        <v>1028</v>
      </c>
      <c r="H47" s="19" t="s">
        <v>1029</v>
      </c>
      <c r="I47" s="19" t="s">
        <v>1030</v>
      </c>
      <c r="J47" s="19" t="s">
        <v>1031</v>
      </c>
      <c r="K47" s="19" t="s">
        <v>108</v>
      </c>
      <c r="L47" s="21" t="s">
        <v>59</v>
      </c>
      <c r="M47" s="19"/>
    </row>
    <row r="48" customFormat="false" ht="78" hidden="false" customHeight="true" outlineLevel="0" collapsed="false">
      <c r="A48" s="15" t="s">
        <v>1032</v>
      </c>
      <c r="B48" s="21" t="s">
        <v>742</v>
      </c>
      <c r="C48" s="17" t="s">
        <v>473</v>
      </c>
      <c r="D48" s="17" t="s">
        <v>474</v>
      </c>
      <c r="E48" s="17" t="s">
        <v>1033</v>
      </c>
      <c r="F48" s="17" t="s">
        <v>1034</v>
      </c>
      <c r="G48" s="17" t="s">
        <v>1035</v>
      </c>
      <c r="H48" s="17" t="s">
        <v>524</v>
      </c>
      <c r="I48" s="17" t="s">
        <v>1036</v>
      </c>
      <c r="J48" s="17" t="s">
        <v>974</v>
      </c>
      <c r="K48" s="17" t="s">
        <v>108</v>
      </c>
      <c r="L48" s="21" t="s">
        <v>59</v>
      </c>
      <c r="M48" s="17"/>
    </row>
    <row r="49" customFormat="false" ht="78" hidden="false" customHeight="true" outlineLevel="0" collapsed="false">
      <c r="A49" s="18" t="s">
        <v>1037</v>
      </c>
      <c r="B49" s="21" t="s">
        <v>742</v>
      </c>
      <c r="C49" s="19" t="s">
        <v>473</v>
      </c>
      <c r="D49" s="19" t="s">
        <v>474</v>
      </c>
      <c r="E49" s="19" t="s">
        <v>1038</v>
      </c>
      <c r="F49" s="19" t="s">
        <v>1039</v>
      </c>
      <c r="G49" s="19" t="s">
        <v>1040</v>
      </c>
      <c r="H49" s="19" t="s">
        <v>496</v>
      </c>
      <c r="I49" s="19" t="s">
        <v>1041</v>
      </c>
      <c r="J49" s="19" t="s">
        <v>1042</v>
      </c>
      <c r="K49" s="19" t="s">
        <v>108</v>
      </c>
      <c r="L49" s="21" t="s">
        <v>59</v>
      </c>
      <c r="M49" s="19"/>
    </row>
    <row r="50" customFormat="false" ht="78" hidden="false" customHeight="true" outlineLevel="0" collapsed="false">
      <c r="A50" s="15" t="s">
        <v>1043</v>
      </c>
      <c r="B50" s="21" t="s">
        <v>742</v>
      </c>
      <c r="C50" s="17" t="s">
        <v>473</v>
      </c>
      <c r="D50" s="17" t="s">
        <v>474</v>
      </c>
      <c r="E50" s="17" t="s">
        <v>1044</v>
      </c>
      <c r="F50" s="17" t="s">
        <v>1045</v>
      </c>
      <c r="G50" s="17" t="s">
        <v>443</v>
      </c>
      <c r="H50" s="17" t="s">
        <v>1046</v>
      </c>
      <c r="I50" s="17" t="s">
        <v>1047</v>
      </c>
      <c r="J50" s="17" t="s">
        <v>443</v>
      </c>
      <c r="K50" s="17" t="s">
        <v>108</v>
      </c>
      <c r="L50" s="21" t="s">
        <v>59</v>
      </c>
      <c r="M50" s="17"/>
    </row>
    <row r="51" customFormat="false" ht="78" hidden="false" customHeight="true" outlineLevel="0" collapsed="false">
      <c r="A51" s="18" t="s">
        <v>1048</v>
      </c>
      <c r="B51" s="21" t="s">
        <v>742</v>
      </c>
      <c r="C51" s="19" t="s">
        <v>473</v>
      </c>
      <c r="D51" s="19" t="s">
        <v>474</v>
      </c>
      <c r="E51" s="19" t="s">
        <v>1049</v>
      </c>
      <c r="F51" s="19" t="s">
        <v>1050</v>
      </c>
      <c r="G51" s="19" t="s">
        <v>1051</v>
      </c>
      <c r="H51" s="19" t="s">
        <v>512</v>
      </c>
      <c r="I51" s="19" t="s">
        <v>1052</v>
      </c>
      <c r="J51" s="19" t="s">
        <v>511</v>
      </c>
      <c r="K51" s="19" t="s">
        <v>108</v>
      </c>
      <c r="L51" s="21" t="s">
        <v>59</v>
      </c>
      <c r="M51" s="19"/>
    </row>
    <row r="52" customFormat="false" ht="78" hidden="false" customHeight="true" outlineLevel="0" collapsed="false">
      <c r="A52" s="15" t="s">
        <v>1053</v>
      </c>
      <c r="B52" s="21" t="s">
        <v>742</v>
      </c>
      <c r="C52" s="17" t="s">
        <v>473</v>
      </c>
      <c r="D52" s="17" t="s">
        <v>474</v>
      </c>
      <c r="E52" s="17" t="s">
        <v>1054</v>
      </c>
      <c r="F52" s="17" t="s">
        <v>1055</v>
      </c>
      <c r="G52" s="17" t="s">
        <v>1056</v>
      </c>
      <c r="H52" s="17" t="s">
        <v>1057</v>
      </c>
      <c r="I52" s="17" t="s">
        <v>1058</v>
      </c>
      <c r="J52" s="17" t="s">
        <v>1059</v>
      </c>
      <c r="K52" s="17" t="s">
        <v>108</v>
      </c>
      <c r="L52" s="21" t="s">
        <v>59</v>
      </c>
      <c r="M52" s="17"/>
    </row>
    <row r="53" customFormat="false" ht="78" hidden="false" customHeight="true" outlineLevel="0" collapsed="false">
      <c r="A53" s="18" t="s">
        <v>1060</v>
      </c>
      <c r="B53" s="21" t="s">
        <v>742</v>
      </c>
      <c r="C53" s="19" t="s">
        <v>473</v>
      </c>
      <c r="D53" s="19" t="s">
        <v>474</v>
      </c>
      <c r="E53" s="19" t="s">
        <v>1061</v>
      </c>
      <c r="F53" s="19" t="s">
        <v>1062</v>
      </c>
      <c r="G53" s="19" t="s">
        <v>1063</v>
      </c>
      <c r="H53" s="19" t="s">
        <v>1064</v>
      </c>
      <c r="I53" s="19" t="s">
        <v>1065</v>
      </c>
      <c r="J53" s="19" t="s">
        <v>1066</v>
      </c>
      <c r="K53" s="19" t="s">
        <v>108</v>
      </c>
      <c r="L53" s="21" t="s">
        <v>59</v>
      </c>
      <c r="M53" s="19"/>
    </row>
    <row r="54" customFormat="false" ht="78" hidden="false" customHeight="true" outlineLevel="0" collapsed="false">
      <c r="A54" s="15" t="s">
        <v>1067</v>
      </c>
      <c r="B54" s="21" t="s">
        <v>742</v>
      </c>
      <c r="C54" s="17" t="s">
        <v>473</v>
      </c>
      <c r="D54" s="17" t="s">
        <v>474</v>
      </c>
      <c r="E54" s="17" t="s">
        <v>1068</v>
      </c>
      <c r="F54" s="17" t="s">
        <v>1069</v>
      </c>
      <c r="G54" s="17" t="s">
        <v>1070</v>
      </c>
      <c r="H54" s="17" t="s">
        <v>1071</v>
      </c>
      <c r="I54" s="17" t="s">
        <v>1072</v>
      </c>
      <c r="J54" s="17" t="s">
        <v>1070</v>
      </c>
      <c r="K54" s="17" t="s">
        <v>67</v>
      </c>
      <c r="L54" s="21" t="s">
        <v>59</v>
      </c>
      <c r="M54" s="17"/>
    </row>
    <row r="55" customFormat="false" ht="78" hidden="false" customHeight="true" outlineLevel="0" collapsed="false">
      <c r="A55" s="18" t="s">
        <v>1073</v>
      </c>
      <c r="B55" s="21" t="s">
        <v>742</v>
      </c>
      <c r="C55" s="19" t="s">
        <v>473</v>
      </c>
      <c r="D55" s="19" t="s">
        <v>474</v>
      </c>
      <c r="E55" s="19" t="s">
        <v>1074</v>
      </c>
      <c r="F55" s="19" t="s">
        <v>1075</v>
      </c>
      <c r="G55" s="19" t="s">
        <v>1076</v>
      </c>
      <c r="H55" s="19" t="s">
        <v>1077</v>
      </c>
      <c r="I55" s="19" t="s">
        <v>1078</v>
      </c>
      <c r="J55" s="19" t="s">
        <v>1077</v>
      </c>
      <c r="K55" s="19" t="s">
        <v>108</v>
      </c>
      <c r="L55" s="21" t="s">
        <v>59</v>
      </c>
      <c r="M55" s="19"/>
    </row>
    <row r="56" customFormat="false" ht="78" hidden="false" customHeight="true" outlineLevel="0" collapsed="false">
      <c r="A56" s="15" t="s">
        <v>1079</v>
      </c>
      <c r="B56" s="21" t="s">
        <v>742</v>
      </c>
      <c r="C56" s="17" t="s">
        <v>519</v>
      </c>
      <c r="D56" s="17" t="s">
        <v>520</v>
      </c>
      <c r="E56" s="17" t="s">
        <v>1080</v>
      </c>
      <c r="F56" s="17" t="s">
        <v>1081</v>
      </c>
      <c r="G56" s="17" t="s">
        <v>1082</v>
      </c>
      <c r="H56" s="17" t="s">
        <v>1083</v>
      </c>
      <c r="I56" s="17" t="s">
        <v>538</v>
      </c>
      <c r="J56" s="17" t="s">
        <v>1084</v>
      </c>
      <c r="K56" s="17" t="s">
        <v>108</v>
      </c>
      <c r="L56" s="21" t="s">
        <v>59</v>
      </c>
      <c r="M56" s="17"/>
    </row>
    <row r="57" customFormat="false" ht="78" hidden="false" customHeight="true" outlineLevel="0" collapsed="false">
      <c r="A57" s="18" t="s">
        <v>1085</v>
      </c>
      <c r="B57" s="21" t="s">
        <v>742</v>
      </c>
      <c r="C57" s="19" t="s">
        <v>519</v>
      </c>
      <c r="D57" s="19" t="s">
        <v>520</v>
      </c>
      <c r="E57" s="19" t="s">
        <v>1086</v>
      </c>
      <c r="F57" s="19" t="s">
        <v>1087</v>
      </c>
      <c r="G57" s="19" t="s">
        <v>1088</v>
      </c>
      <c r="H57" s="19" t="s">
        <v>1089</v>
      </c>
      <c r="I57" s="19" t="s">
        <v>1090</v>
      </c>
      <c r="J57" s="19" t="s">
        <v>1091</v>
      </c>
      <c r="K57" s="19" t="s">
        <v>108</v>
      </c>
      <c r="L57" s="21" t="s">
        <v>59</v>
      </c>
      <c r="M57" s="19"/>
    </row>
    <row r="58" customFormat="false" ht="78" hidden="false" customHeight="true" outlineLevel="0" collapsed="false">
      <c r="A58" s="15" t="s">
        <v>1092</v>
      </c>
      <c r="B58" s="21" t="s">
        <v>742</v>
      </c>
      <c r="C58" s="17" t="s">
        <v>519</v>
      </c>
      <c r="D58" s="17" t="s">
        <v>520</v>
      </c>
      <c r="E58" s="17" t="s">
        <v>1093</v>
      </c>
      <c r="F58" s="17" t="s">
        <v>1094</v>
      </c>
      <c r="G58" s="17" t="s">
        <v>1095</v>
      </c>
      <c r="H58" s="17" t="s">
        <v>1096</v>
      </c>
      <c r="I58" s="17" t="s">
        <v>1097</v>
      </c>
      <c r="J58" s="17" t="s">
        <v>1098</v>
      </c>
      <c r="K58" s="17" t="s">
        <v>108</v>
      </c>
      <c r="L58" s="21" t="s">
        <v>59</v>
      </c>
      <c r="M58" s="17"/>
    </row>
    <row r="59" customFormat="false" ht="78" hidden="false" customHeight="true" outlineLevel="0" collapsed="false">
      <c r="A59" s="18" t="s">
        <v>1099</v>
      </c>
      <c r="B59" s="21" t="s">
        <v>742</v>
      </c>
      <c r="C59" s="19" t="s">
        <v>519</v>
      </c>
      <c r="D59" s="19" t="s">
        <v>520</v>
      </c>
      <c r="E59" s="19" t="s">
        <v>1100</v>
      </c>
      <c r="F59" s="19" t="s">
        <v>1101</v>
      </c>
      <c r="G59" s="19" t="s">
        <v>1102</v>
      </c>
      <c r="H59" s="19" t="s">
        <v>1103</v>
      </c>
      <c r="I59" s="19" t="s">
        <v>1104</v>
      </c>
      <c r="J59" s="19" t="s">
        <v>1105</v>
      </c>
      <c r="K59" s="19" t="s">
        <v>108</v>
      </c>
      <c r="L59" s="21" t="s">
        <v>59</v>
      </c>
      <c r="M59" s="19"/>
    </row>
    <row r="60" customFormat="false" ht="78" hidden="false" customHeight="true" outlineLevel="0" collapsed="false">
      <c r="A60" s="15" t="s">
        <v>1106</v>
      </c>
      <c r="B60" s="21" t="s">
        <v>742</v>
      </c>
      <c r="C60" s="17" t="s">
        <v>519</v>
      </c>
      <c r="D60" s="17" t="s">
        <v>520</v>
      </c>
      <c r="E60" s="17" t="s">
        <v>1107</v>
      </c>
      <c r="F60" s="17" t="s">
        <v>1108</v>
      </c>
      <c r="G60" s="17" t="s">
        <v>1109</v>
      </c>
      <c r="H60" s="17" t="s">
        <v>544</v>
      </c>
      <c r="I60" s="17" t="s">
        <v>714</v>
      </c>
      <c r="J60" s="17" t="s">
        <v>1109</v>
      </c>
      <c r="K60" s="17" t="s">
        <v>108</v>
      </c>
      <c r="L60" s="21" t="s">
        <v>59</v>
      </c>
      <c r="M60" s="17"/>
    </row>
    <row r="61" customFormat="false" ht="78" hidden="false" customHeight="true" outlineLevel="0" collapsed="false">
      <c r="A61" s="18" t="s">
        <v>1110</v>
      </c>
      <c r="B61" s="21" t="s">
        <v>742</v>
      </c>
      <c r="C61" s="19" t="s">
        <v>519</v>
      </c>
      <c r="D61" s="19" t="s">
        <v>520</v>
      </c>
      <c r="E61" s="19" t="s">
        <v>1111</v>
      </c>
      <c r="F61" s="19" t="s">
        <v>1112</v>
      </c>
      <c r="G61" s="19" t="s">
        <v>833</v>
      </c>
      <c r="H61" s="19" t="s">
        <v>391</v>
      </c>
      <c r="I61" s="19" t="s">
        <v>834</v>
      </c>
      <c r="J61" s="19" t="s">
        <v>1113</v>
      </c>
      <c r="K61" s="19" t="s">
        <v>1114</v>
      </c>
      <c r="L61" s="21" t="s">
        <v>59</v>
      </c>
      <c r="M61" s="19"/>
    </row>
    <row r="62" customFormat="false" ht="78" hidden="false" customHeight="true" outlineLevel="0" collapsed="false">
      <c r="A62" s="15" t="s">
        <v>1115</v>
      </c>
      <c r="B62" s="21" t="s">
        <v>742</v>
      </c>
      <c r="C62" s="17" t="s">
        <v>519</v>
      </c>
      <c r="D62" s="17" t="s">
        <v>520</v>
      </c>
      <c r="E62" s="17" t="s">
        <v>1116</v>
      </c>
      <c r="F62" s="17" t="s">
        <v>1117</v>
      </c>
      <c r="G62" s="17" t="s">
        <v>543</v>
      </c>
      <c r="H62" s="17" t="s">
        <v>1118</v>
      </c>
      <c r="I62" s="17" t="s">
        <v>1119</v>
      </c>
      <c r="J62" s="17" t="s">
        <v>1120</v>
      </c>
      <c r="K62" s="17" t="s">
        <v>108</v>
      </c>
      <c r="L62" s="21" t="s">
        <v>59</v>
      </c>
      <c r="M62" s="17"/>
    </row>
    <row r="63" customFormat="false" ht="78" hidden="false" customHeight="true" outlineLevel="0" collapsed="false">
      <c r="A63" s="18" t="s">
        <v>1121</v>
      </c>
      <c r="B63" s="21" t="s">
        <v>742</v>
      </c>
      <c r="C63" s="19" t="s">
        <v>519</v>
      </c>
      <c r="D63" s="19" t="s">
        <v>520</v>
      </c>
      <c r="E63" s="19" t="s">
        <v>1122</v>
      </c>
      <c r="F63" s="19" t="s">
        <v>1123</v>
      </c>
      <c r="G63" s="19" t="s">
        <v>1124</v>
      </c>
      <c r="H63" s="19" t="s">
        <v>1083</v>
      </c>
      <c r="I63" s="19" t="s">
        <v>1125</v>
      </c>
      <c r="J63" s="19" t="s">
        <v>1126</v>
      </c>
      <c r="K63" s="19" t="s">
        <v>108</v>
      </c>
      <c r="L63" s="21" t="s">
        <v>59</v>
      </c>
      <c r="M63" s="19"/>
    </row>
    <row r="64" customFormat="false" ht="78" hidden="false" customHeight="true" outlineLevel="0" collapsed="false">
      <c r="A64" s="15" t="s">
        <v>1127</v>
      </c>
      <c r="B64" s="21" t="s">
        <v>742</v>
      </c>
      <c r="C64" s="17" t="s">
        <v>519</v>
      </c>
      <c r="D64" s="17" t="s">
        <v>520</v>
      </c>
      <c r="E64" s="17" t="s">
        <v>1128</v>
      </c>
      <c r="F64" s="17" t="s">
        <v>1129</v>
      </c>
      <c r="G64" s="17" t="s">
        <v>1130</v>
      </c>
      <c r="H64" s="17" t="s">
        <v>1131</v>
      </c>
      <c r="I64" s="17" t="s">
        <v>1132</v>
      </c>
      <c r="J64" s="17" t="s">
        <v>1131</v>
      </c>
      <c r="K64" s="17" t="s">
        <v>108</v>
      </c>
      <c r="L64" s="21" t="s">
        <v>59</v>
      </c>
      <c r="M64" s="17"/>
    </row>
    <row r="65" customFormat="false" ht="78" hidden="false" customHeight="true" outlineLevel="0" collapsed="false">
      <c r="A65" s="18" t="s">
        <v>1133</v>
      </c>
      <c r="B65" s="21" t="s">
        <v>742</v>
      </c>
      <c r="C65" s="19" t="s">
        <v>567</v>
      </c>
      <c r="D65" s="19" t="s">
        <v>568</v>
      </c>
      <c r="E65" s="19" t="s">
        <v>1134</v>
      </c>
      <c r="F65" s="19" t="s">
        <v>1135</v>
      </c>
      <c r="G65" s="19" t="s">
        <v>1136</v>
      </c>
      <c r="H65" s="19" t="s">
        <v>1137</v>
      </c>
      <c r="I65" s="19" t="s">
        <v>1138</v>
      </c>
      <c r="J65" s="19" t="s">
        <v>1139</v>
      </c>
      <c r="K65" s="19" t="s">
        <v>108</v>
      </c>
      <c r="L65" s="21" t="s">
        <v>59</v>
      </c>
      <c r="M65" s="19"/>
    </row>
    <row r="66" customFormat="false" ht="78" hidden="false" customHeight="true" outlineLevel="0" collapsed="false">
      <c r="A66" s="15" t="s">
        <v>1140</v>
      </c>
      <c r="B66" s="21" t="s">
        <v>742</v>
      </c>
      <c r="C66" s="17" t="s">
        <v>567</v>
      </c>
      <c r="D66" s="17" t="s">
        <v>568</v>
      </c>
      <c r="E66" s="17" t="s">
        <v>1141</v>
      </c>
      <c r="F66" s="17" t="s">
        <v>1142</v>
      </c>
      <c r="G66" s="17" t="s">
        <v>1143</v>
      </c>
      <c r="H66" s="17" t="s">
        <v>1144</v>
      </c>
      <c r="I66" s="17" t="s">
        <v>1145</v>
      </c>
      <c r="J66" s="17" t="s">
        <v>1144</v>
      </c>
      <c r="K66" s="17" t="s">
        <v>108</v>
      </c>
      <c r="L66" s="21" t="s">
        <v>59</v>
      </c>
      <c r="M66" s="17"/>
    </row>
    <row r="67" customFormat="false" ht="78" hidden="false" customHeight="true" outlineLevel="0" collapsed="false">
      <c r="A67" s="18" t="s">
        <v>1146</v>
      </c>
      <c r="B67" s="21" t="s">
        <v>742</v>
      </c>
      <c r="C67" s="19" t="s">
        <v>567</v>
      </c>
      <c r="D67" s="19" t="s">
        <v>568</v>
      </c>
      <c r="E67" s="19" t="s">
        <v>1147</v>
      </c>
      <c r="F67" s="19" t="s">
        <v>1148</v>
      </c>
      <c r="G67" s="19" t="s">
        <v>1149</v>
      </c>
      <c r="H67" s="19" t="s">
        <v>1139</v>
      </c>
      <c r="I67" s="19" t="s">
        <v>214</v>
      </c>
      <c r="J67" s="19" t="s">
        <v>1150</v>
      </c>
      <c r="K67" s="19" t="s">
        <v>108</v>
      </c>
      <c r="L67" s="21" t="s">
        <v>59</v>
      </c>
      <c r="M67" s="19"/>
    </row>
    <row r="68" customFormat="false" ht="78" hidden="false" customHeight="true" outlineLevel="0" collapsed="false">
      <c r="A68" s="15" t="s">
        <v>1151</v>
      </c>
      <c r="B68" s="21" t="s">
        <v>742</v>
      </c>
      <c r="C68" s="17" t="s">
        <v>567</v>
      </c>
      <c r="D68" s="17" t="s">
        <v>568</v>
      </c>
      <c r="E68" s="17" t="s">
        <v>1152</v>
      </c>
      <c r="F68" s="17" t="s">
        <v>1153</v>
      </c>
      <c r="G68" s="17" t="s">
        <v>1154</v>
      </c>
      <c r="H68" s="17" t="s">
        <v>1139</v>
      </c>
      <c r="I68" s="17" t="s">
        <v>586</v>
      </c>
      <c r="J68" s="17" t="s">
        <v>1155</v>
      </c>
      <c r="K68" s="17" t="s">
        <v>108</v>
      </c>
      <c r="L68" s="21" t="s">
        <v>59</v>
      </c>
      <c r="M68" s="17"/>
    </row>
    <row r="69" customFormat="false" ht="78" hidden="false" customHeight="true" outlineLevel="0" collapsed="false">
      <c r="A69" s="18" t="s">
        <v>1156</v>
      </c>
      <c r="B69" s="21" t="s">
        <v>742</v>
      </c>
      <c r="C69" s="19" t="s">
        <v>567</v>
      </c>
      <c r="D69" s="19" t="s">
        <v>568</v>
      </c>
      <c r="E69" s="19" t="s">
        <v>1157</v>
      </c>
      <c r="F69" s="19" t="s">
        <v>1158</v>
      </c>
      <c r="G69" s="19" t="s">
        <v>1159</v>
      </c>
      <c r="H69" s="19" t="s">
        <v>1160</v>
      </c>
      <c r="I69" s="19" t="s">
        <v>1161</v>
      </c>
      <c r="J69" s="19" t="s">
        <v>1162</v>
      </c>
      <c r="K69" s="19" t="s">
        <v>108</v>
      </c>
      <c r="L69" s="21" t="s">
        <v>59</v>
      </c>
      <c r="M69" s="19"/>
    </row>
    <row r="70" customFormat="false" ht="78" hidden="false" customHeight="true" outlineLevel="0" collapsed="false">
      <c r="A70" s="15" t="s">
        <v>1163</v>
      </c>
      <c r="B70" s="21" t="s">
        <v>742</v>
      </c>
      <c r="C70" s="17" t="s">
        <v>567</v>
      </c>
      <c r="D70" s="17" t="s">
        <v>568</v>
      </c>
      <c r="E70" s="17" t="s">
        <v>1164</v>
      </c>
      <c r="F70" s="17" t="s">
        <v>1165</v>
      </c>
      <c r="G70" s="17" t="s">
        <v>1166</v>
      </c>
      <c r="H70" s="17" t="s">
        <v>599</v>
      </c>
      <c r="I70" s="17" t="s">
        <v>1167</v>
      </c>
      <c r="J70" s="17" t="s">
        <v>1168</v>
      </c>
      <c r="K70" s="17" t="s">
        <v>108</v>
      </c>
      <c r="L70" s="21" t="s">
        <v>59</v>
      </c>
      <c r="M70" s="17"/>
    </row>
    <row r="71" customFormat="false" ht="78" hidden="false" customHeight="true" outlineLevel="0" collapsed="false">
      <c r="A71" s="18" t="s">
        <v>1169</v>
      </c>
      <c r="B71" s="21" t="s">
        <v>742</v>
      </c>
      <c r="C71" s="19" t="s">
        <v>567</v>
      </c>
      <c r="D71" s="19" t="s">
        <v>568</v>
      </c>
      <c r="E71" s="19" t="s">
        <v>1170</v>
      </c>
      <c r="F71" s="19" t="s">
        <v>1171</v>
      </c>
      <c r="G71" s="19" t="s">
        <v>1172</v>
      </c>
      <c r="H71" s="19" t="s">
        <v>1173</v>
      </c>
      <c r="I71" s="19" t="s">
        <v>1174</v>
      </c>
      <c r="J71" s="19" t="s">
        <v>1175</v>
      </c>
      <c r="K71" s="19" t="s">
        <v>108</v>
      </c>
      <c r="L71" s="21" t="s">
        <v>59</v>
      </c>
      <c r="M71" s="19"/>
    </row>
    <row r="72" customFormat="false" ht="78" hidden="false" customHeight="true" outlineLevel="0" collapsed="false">
      <c r="A72" s="15" t="s">
        <v>1176</v>
      </c>
      <c r="B72" s="21" t="s">
        <v>742</v>
      </c>
      <c r="C72" s="17" t="s">
        <v>567</v>
      </c>
      <c r="D72" s="17" t="s">
        <v>568</v>
      </c>
      <c r="E72" s="17" t="s">
        <v>1177</v>
      </c>
      <c r="F72" s="17" t="s">
        <v>1178</v>
      </c>
      <c r="G72" s="17" t="s">
        <v>1179</v>
      </c>
      <c r="H72" s="17" t="s">
        <v>592</v>
      </c>
      <c r="I72" s="17" t="s">
        <v>1180</v>
      </c>
      <c r="J72" s="17" t="s">
        <v>1181</v>
      </c>
      <c r="K72" s="17" t="s">
        <v>108</v>
      </c>
      <c r="L72" s="21" t="s">
        <v>59</v>
      </c>
      <c r="M72" s="17"/>
    </row>
    <row r="73" customFormat="false" ht="78" hidden="false" customHeight="true" outlineLevel="0" collapsed="false">
      <c r="A73" s="18" t="s">
        <v>1182</v>
      </c>
      <c r="B73" s="21" t="s">
        <v>742</v>
      </c>
      <c r="C73" s="19" t="s">
        <v>567</v>
      </c>
      <c r="D73" s="19" t="s">
        <v>568</v>
      </c>
      <c r="E73" s="19" t="s">
        <v>1183</v>
      </c>
      <c r="F73" s="19" t="s">
        <v>1184</v>
      </c>
      <c r="G73" s="19" t="s">
        <v>1185</v>
      </c>
      <c r="H73" s="19" t="s">
        <v>891</v>
      </c>
      <c r="I73" s="19" t="s">
        <v>859</v>
      </c>
      <c r="J73" s="19" t="s">
        <v>1186</v>
      </c>
      <c r="K73" s="19" t="s">
        <v>1187</v>
      </c>
      <c r="L73" s="21" t="s">
        <v>59</v>
      </c>
      <c r="M73" s="19"/>
    </row>
    <row r="74" customFormat="false" ht="78" hidden="false" customHeight="true" outlineLevel="0" collapsed="false">
      <c r="A74" s="15" t="s">
        <v>1188</v>
      </c>
      <c r="B74" s="21" t="s">
        <v>742</v>
      </c>
      <c r="C74" s="17" t="s">
        <v>613</v>
      </c>
      <c r="D74" s="17" t="s">
        <v>614</v>
      </c>
      <c r="E74" s="17" t="s">
        <v>1189</v>
      </c>
      <c r="F74" s="17" t="s">
        <v>1190</v>
      </c>
      <c r="G74" s="17" t="s">
        <v>1191</v>
      </c>
      <c r="H74" s="17" t="s">
        <v>1192</v>
      </c>
      <c r="I74" s="17" t="s">
        <v>1193</v>
      </c>
      <c r="J74" s="17" t="s">
        <v>1191</v>
      </c>
      <c r="K74" s="17" t="s">
        <v>1194</v>
      </c>
      <c r="L74" s="21" t="s">
        <v>59</v>
      </c>
      <c r="M74" s="17"/>
    </row>
    <row r="75" customFormat="false" ht="78" hidden="false" customHeight="true" outlineLevel="0" collapsed="false">
      <c r="A75" s="18" t="s">
        <v>1195</v>
      </c>
      <c r="B75" s="21" t="s">
        <v>742</v>
      </c>
      <c r="C75" s="19" t="s">
        <v>613</v>
      </c>
      <c r="D75" s="19" t="s">
        <v>614</v>
      </c>
      <c r="E75" s="19" t="s">
        <v>1196</v>
      </c>
      <c r="F75" s="19" t="s">
        <v>1197</v>
      </c>
      <c r="G75" s="19" t="s">
        <v>1198</v>
      </c>
      <c r="H75" s="19" t="s">
        <v>1199</v>
      </c>
      <c r="I75" s="19" t="s">
        <v>1200</v>
      </c>
      <c r="J75" s="19" t="s">
        <v>1201</v>
      </c>
      <c r="K75" s="19" t="s">
        <v>108</v>
      </c>
      <c r="L75" s="21" t="s">
        <v>59</v>
      </c>
      <c r="M75" s="19"/>
    </row>
    <row r="76" customFormat="false" ht="78" hidden="false" customHeight="true" outlineLevel="0" collapsed="false">
      <c r="A76" s="15" t="s">
        <v>1202</v>
      </c>
      <c r="B76" s="21" t="s">
        <v>742</v>
      </c>
      <c r="C76" s="17" t="s">
        <v>613</v>
      </c>
      <c r="D76" s="17" t="s">
        <v>614</v>
      </c>
      <c r="E76" s="17" t="s">
        <v>1203</v>
      </c>
      <c r="F76" s="17" t="s">
        <v>1204</v>
      </c>
      <c r="G76" s="17" t="s">
        <v>1205</v>
      </c>
      <c r="H76" s="17" t="s">
        <v>654</v>
      </c>
      <c r="I76" s="17" t="s">
        <v>1206</v>
      </c>
      <c r="J76" s="17" t="s">
        <v>1207</v>
      </c>
      <c r="K76" s="17" t="s">
        <v>108</v>
      </c>
      <c r="L76" s="21" t="s">
        <v>59</v>
      </c>
      <c r="M76" s="17"/>
    </row>
    <row r="77" customFormat="false" ht="78" hidden="false" customHeight="true" outlineLevel="0" collapsed="false">
      <c r="A77" s="18" t="s">
        <v>1208</v>
      </c>
      <c r="B77" s="21" t="s">
        <v>742</v>
      </c>
      <c r="C77" s="19" t="s">
        <v>613</v>
      </c>
      <c r="D77" s="19" t="s">
        <v>614</v>
      </c>
      <c r="E77" s="19" t="s">
        <v>1209</v>
      </c>
      <c r="F77" s="19" t="s">
        <v>1210</v>
      </c>
      <c r="G77" s="19" t="s">
        <v>1211</v>
      </c>
      <c r="H77" s="19" t="s">
        <v>1212</v>
      </c>
      <c r="I77" s="19" t="s">
        <v>1213</v>
      </c>
      <c r="J77" s="19" t="s">
        <v>1214</v>
      </c>
      <c r="K77" s="19" t="s">
        <v>108</v>
      </c>
      <c r="L77" s="21" t="s">
        <v>59</v>
      </c>
      <c r="M77" s="19"/>
    </row>
    <row r="78" customFormat="false" ht="78" hidden="false" customHeight="true" outlineLevel="0" collapsed="false">
      <c r="A78" s="15" t="s">
        <v>1215</v>
      </c>
      <c r="B78" s="21" t="s">
        <v>742</v>
      </c>
      <c r="C78" s="17" t="s">
        <v>613</v>
      </c>
      <c r="D78" s="17" t="s">
        <v>614</v>
      </c>
      <c r="E78" s="17" t="s">
        <v>1216</v>
      </c>
      <c r="F78" s="17" t="s">
        <v>1217</v>
      </c>
      <c r="G78" s="17" t="s">
        <v>1218</v>
      </c>
      <c r="H78" s="17" t="s">
        <v>1219</v>
      </c>
      <c r="I78" s="17" t="s">
        <v>1220</v>
      </c>
      <c r="J78" s="17" t="s">
        <v>1221</v>
      </c>
      <c r="K78" s="17" t="s">
        <v>108</v>
      </c>
      <c r="L78" s="21" t="s">
        <v>59</v>
      </c>
      <c r="M78" s="17"/>
    </row>
    <row r="79" customFormat="false" ht="78" hidden="false" customHeight="true" outlineLevel="0" collapsed="false">
      <c r="A79" s="18" t="s">
        <v>1222</v>
      </c>
      <c r="B79" s="21" t="s">
        <v>742</v>
      </c>
      <c r="C79" s="19" t="s">
        <v>613</v>
      </c>
      <c r="D79" s="19" t="s">
        <v>614</v>
      </c>
      <c r="E79" s="19" t="s">
        <v>1223</v>
      </c>
      <c r="F79" s="19" t="s">
        <v>1224</v>
      </c>
      <c r="G79" s="19" t="s">
        <v>1225</v>
      </c>
      <c r="H79" s="19" t="s">
        <v>1226</v>
      </c>
      <c r="I79" s="19" t="s">
        <v>634</v>
      </c>
      <c r="J79" s="19" t="s">
        <v>1227</v>
      </c>
      <c r="K79" s="19" t="s">
        <v>108</v>
      </c>
      <c r="L79" s="21" t="s">
        <v>59</v>
      </c>
      <c r="M79" s="19"/>
    </row>
    <row r="80" customFormat="false" ht="78" hidden="false" customHeight="true" outlineLevel="0" collapsed="false">
      <c r="A80" s="15" t="s">
        <v>1228</v>
      </c>
      <c r="B80" s="21" t="s">
        <v>742</v>
      </c>
      <c r="C80" s="17" t="s">
        <v>613</v>
      </c>
      <c r="D80" s="17" t="s">
        <v>614</v>
      </c>
      <c r="E80" s="17" t="s">
        <v>1229</v>
      </c>
      <c r="F80" s="17" t="s">
        <v>1230</v>
      </c>
      <c r="G80" s="17" t="s">
        <v>1231</v>
      </c>
      <c r="H80" s="17" t="s">
        <v>1232</v>
      </c>
      <c r="I80" s="17" t="s">
        <v>1233</v>
      </c>
      <c r="J80" s="17" t="s">
        <v>1234</v>
      </c>
      <c r="K80" s="17" t="s">
        <v>621</v>
      </c>
      <c r="L80" s="21" t="s">
        <v>59</v>
      </c>
      <c r="M80" s="17"/>
    </row>
    <row r="81" customFormat="false" ht="78" hidden="false" customHeight="true" outlineLevel="0" collapsed="false">
      <c r="A81" s="18" t="s">
        <v>1235</v>
      </c>
      <c r="B81" s="21" t="s">
        <v>742</v>
      </c>
      <c r="C81" s="19" t="s">
        <v>613</v>
      </c>
      <c r="D81" s="19" t="s">
        <v>614</v>
      </c>
      <c r="E81" s="19" t="s">
        <v>1236</v>
      </c>
      <c r="F81" s="19" t="s">
        <v>1237</v>
      </c>
      <c r="G81" s="19" t="s">
        <v>1238</v>
      </c>
      <c r="H81" s="19" t="s">
        <v>1239</v>
      </c>
      <c r="I81" s="19" t="s">
        <v>1240</v>
      </c>
      <c r="J81" s="19" t="s">
        <v>1241</v>
      </c>
      <c r="K81" s="19" t="s">
        <v>108</v>
      </c>
      <c r="L81" s="21" t="s">
        <v>59</v>
      </c>
      <c r="M81" s="19"/>
    </row>
    <row r="82" customFormat="false" ht="78" hidden="false" customHeight="true" outlineLevel="0" collapsed="false">
      <c r="A82" s="15" t="s">
        <v>1242</v>
      </c>
      <c r="B82" s="21" t="s">
        <v>742</v>
      </c>
      <c r="C82" s="17" t="s">
        <v>613</v>
      </c>
      <c r="D82" s="17" t="s">
        <v>614</v>
      </c>
      <c r="E82" s="17" t="s">
        <v>1243</v>
      </c>
      <c r="F82" s="17" t="s">
        <v>1244</v>
      </c>
      <c r="G82" s="17" t="s">
        <v>1185</v>
      </c>
      <c r="H82" s="17" t="s">
        <v>1245</v>
      </c>
      <c r="I82" s="17" t="s">
        <v>1246</v>
      </c>
      <c r="J82" s="17" t="s">
        <v>1247</v>
      </c>
      <c r="K82" s="17" t="s">
        <v>1248</v>
      </c>
      <c r="L82" s="21" t="s">
        <v>59</v>
      </c>
      <c r="M82" s="17"/>
    </row>
    <row r="83" customFormat="false" ht="78" hidden="false" customHeight="true" outlineLevel="0" collapsed="false">
      <c r="A83" s="18" t="s">
        <v>1249</v>
      </c>
      <c r="B83" s="21" t="s">
        <v>742</v>
      </c>
      <c r="C83" s="19" t="s">
        <v>664</v>
      </c>
      <c r="D83" s="19" t="s">
        <v>665</v>
      </c>
      <c r="E83" s="19" t="s">
        <v>1250</v>
      </c>
      <c r="F83" s="19" t="s">
        <v>1251</v>
      </c>
      <c r="G83" s="19" t="s">
        <v>1252</v>
      </c>
      <c r="H83" s="19" t="s">
        <v>1253</v>
      </c>
      <c r="I83" s="19" t="s">
        <v>1254</v>
      </c>
      <c r="J83" s="19" t="s">
        <v>1255</v>
      </c>
      <c r="K83" s="19" t="s">
        <v>108</v>
      </c>
      <c r="L83" s="21" t="s">
        <v>59</v>
      </c>
      <c r="M83" s="19"/>
    </row>
    <row r="84" customFormat="false" ht="78" hidden="false" customHeight="true" outlineLevel="0" collapsed="false">
      <c r="A84" s="15" t="s">
        <v>1256</v>
      </c>
      <c r="B84" s="21" t="s">
        <v>742</v>
      </c>
      <c r="C84" s="17" t="s">
        <v>664</v>
      </c>
      <c r="D84" s="17" t="s">
        <v>665</v>
      </c>
      <c r="E84" s="17" t="s">
        <v>1257</v>
      </c>
      <c r="F84" s="17" t="s">
        <v>1258</v>
      </c>
      <c r="G84" s="17" t="s">
        <v>495</v>
      </c>
      <c r="H84" s="17" t="s">
        <v>179</v>
      </c>
      <c r="I84" s="17" t="s">
        <v>1259</v>
      </c>
      <c r="J84" s="17" t="s">
        <v>1260</v>
      </c>
      <c r="K84" s="17" t="s">
        <v>108</v>
      </c>
      <c r="L84" s="21" t="s">
        <v>59</v>
      </c>
      <c r="M84" s="17"/>
    </row>
    <row r="85" customFormat="false" ht="78" hidden="false" customHeight="true" outlineLevel="0" collapsed="false">
      <c r="A85" s="18" t="s">
        <v>1261</v>
      </c>
      <c r="B85" s="21" t="s">
        <v>742</v>
      </c>
      <c r="C85" s="19" t="s">
        <v>664</v>
      </c>
      <c r="D85" s="19" t="s">
        <v>665</v>
      </c>
      <c r="E85" s="19" t="s">
        <v>1262</v>
      </c>
      <c r="F85" s="19" t="s">
        <v>1263</v>
      </c>
      <c r="G85" s="19" t="s">
        <v>1264</v>
      </c>
      <c r="H85" s="19" t="s">
        <v>1265</v>
      </c>
      <c r="I85" s="19" t="s">
        <v>1266</v>
      </c>
      <c r="J85" s="19" t="s">
        <v>1267</v>
      </c>
      <c r="K85" s="19" t="s">
        <v>108</v>
      </c>
      <c r="L85" s="21" t="s">
        <v>59</v>
      </c>
      <c r="M85" s="19"/>
    </row>
    <row r="86" customFormat="false" ht="78" hidden="false" customHeight="true" outlineLevel="0" collapsed="false">
      <c r="A86" s="15" t="s">
        <v>1268</v>
      </c>
      <c r="B86" s="21" t="s">
        <v>742</v>
      </c>
      <c r="C86" s="17" t="s">
        <v>664</v>
      </c>
      <c r="D86" s="17" t="s">
        <v>665</v>
      </c>
      <c r="E86" s="17" t="s">
        <v>1269</v>
      </c>
      <c r="F86" s="17" t="s">
        <v>1270</v>
      </c>
      <c r="G86" s="17" t="s">
        <v>1271</v>
      </c>
      <c r="H86" s="17" t="s">
        <v>1272</v>
      </c>
      <c r="I86" s="17" t="s">
        <v>1273</v>
      </c>
      <c r="J86" s="17" t="s">
        <v>1274</v>
      </c>
      <c r="K86" s="17" t="s">
        <v>108</v>
      </c>
      <c r="L86" s="21" t="s">
        <v>59</v>
      </c>
      <c r="M86" s="17"/>
    </row>
    <row r="87" customFormat="false" ht="78" hidden="false" customHeight="true" outlineLevel="0" collapsed="false">
      <c r="A87" s="18" t="s">
        <v>1275</v>
      </c>
      <c r="B87" s="21" t="s">
        <v>742</v>
      </c>
      <c r="C87" s="19" t="s">
        <v>664</v>
      </c>
      <c r="D87" s="19" t="s">
        <v>665</v>
      </c>
      <c r="E87" s="19" t="s">
        <v>1276</v>
      </c>
      <c r="F87" s="19" t="s">
        <v>1277</v>
      </c>
      <c r="G87" s="19" t="s">
        <v>1278</v>
      </c>
      <c r="H87" s="19" t="s">
        <v>693</v>
      </c>
      <c r="I87" s="19" t="s">
        <v>1279</v>
      </c>
      <c r="J87" s="19" t="s">
        <v>1280</v>
      </c>
      <c r="K87" s="19" t="s">
        <v>108</v>
      </c>
      <c r="L87" s="21" t="s">
        <v>59</v>
      </c>
      <c r="M87" s="19"/>
    </row>
    <row r="88" customFormat="false" ht="78" hidden="false" customHeight="true" outlineLevel="0" collapsed="false">
      <c r="A88" s="15" t="s">
        <v>1281</v>
      </c>
      <c r="B88" s="21" t="s">
        <v>742</v>
      </c>
      <c r="C88" s="17" t="s">
        <v>664</v>
      </c>
      <c r="D88" s="17" t="s">
        <v>665</v>
      </c>
      <c r="E88" s="17" t="s">
        <v>1282</v>
      </c>
      <c r="F88" s="17" t="s">
        <v>1283</v>
      </c>
      <c r="G88" s="17" t="s">
        <v>1284</v>
      </c>
      <c r="H88" s="17" t="s">
        <v>1285</v>
      </c>
      <c r="I88" s="17" t="s">
        <v>1286</v>
      </c>
      <c r="J88" s="17" t="s">
        <v>1287</v>
      </c>
      <c r="K88" s="17" t="s">
        <v>108</v>
      </c>
      <c r="L88" s="21" t="s">
        <v>59</v>
      </c>
      <c r="M88" s="17"/>
    </row>
    <row r="89" customFormat="false" ht="78" hidden="false" customHeight="true" outlineLevel="0" collapsed="false">
      <c r="A89" s="18" t="s">
        <v>1288</v>
      </c>
      <c r="B89" s="21" t="s">
        <v>742</v>
      </c>
      <c r="C89" s="19" t="s">
        <v>664</v>
      </c>
      <c r="D89" s="19" t="s">
        <v>665</v>
      </c>
      <c r="E89" s="19" t="s">
        <v>1289</v>
      </c>
      <c r="F89" s="19" t="s">
        <v>1290</v>
      </c>
      <c r="G89" s="19" t="s">
        <v>1291</v>
      </c>
      <c r="H89" s="19" t="s">
        <v>1292</v>
      </c>
      <c r="I89" s="19" t="s">
        <v>1293</v>
      </c>
      <c r="J89" s="19" t="s">
        <v>1294</v>
      </c>
      <c r="K89" s="19" t="s">
        <v>108</v>
      </c>
      <c r="L89" s="21" t="s">
        <v>59</v>
      </c>
      <c r="M89" s="19"/>
    </row>
    <row r="90" customFormat="false" ht="78" hidden="false" customHeight="true" outlineLevel="0" collapsed="false">
      <c r="A90" s="15" t="s">
        <v>1295</v>
      </c>
      <c r="B90" s="21" t="s">
        <v>742</v>
      </c>
      <c r="C90" s="17" t="s">
        <v>664</v>
      </c>
      <c r="D90" s="17" t="s">
        <v>665</v>
      </c>
      <c r="E90" s="17" t="s">
        <v>1296</v>
      </c>
      <c r="F90" s="17" t="s">
        <v>1297</v>
      </c>
      <c r="G90" s="17" t="s">
        <v>1298</v>
      </c>
      <c r="H90" s="17" t="s">
        <v>1299</v>
      </c>
      <c r="I90" s="17" t="s">
        <v>1300</v>
      </c>
      <c r="J90" s="17" t="s">
        <v>1301</v>
      </c>
      <c r="K90" s="17" t="s">
        <v>108</v>
      </c>
      <c r="L90" s="21" t="s">
        <v>59</v>
      </c>
      <c r="M90" s="17"/>
    </row>
    <row r="91" customFormat="false" ht="78" hidden="false" customHeight="true" outlineLevel="0" collapsed="false">
      <c r="A91" s="18" t="s">
        <v>1302</v>
      </c>
      <c r="B91" s="21" t="s">
        <v>742</v>
      </c>
      <c r="C91" s="19" t="s">
        <v>664</v>
      </c>
      <c r="D91" s="19" t="s">
        <v>665</v>
      </c>
      <c r="E91" s="19" t="s">
        <v>1303</v>
      </c>
      <c r="F91" s="19" t="s">
        <v>1304</v>
      </c>
      <c r="G91" s="19" t="s">
        <v>1305</v>
      </c>
      <c r="H91" s="19" t="s">
        <v>891</v>
      </c>
      <c r="I91" s="19" t="s">
        <v>1306</v>
      </c>
      <c r="J91" s="19" t="s">
        <v>1307</v>
      </c>
      <c r="K91" s="19" t="s">
        <v>1308</v>
      </c>
      <c r="L91" s="21" t="s">
        <v>59</v>
      </c>
      <c r="M91" s="19"/>
    </row>
    <row r="92" customFormat="false" ht="78" hidden="false" customHeight="true" outlineLevel="0" collapsed="false">
      <c r="A92" s="15" t="s">
        <v>1309</v>
      </c>
      <c r="B92" s="21" t="s">
        <v>742</v>
      </c>
      <c r="C92" s="17" t="s">
        <v>709</v>
      </c>
      <c r="D92" s="17" t="s">
        <v>710</v>
      </c>
      <c r="E92" s="17" t="s">
        <v>1310</v>
      </c>
      <c r="F92" s="17" t="s">
        <v>1311</v>
      </c>
      <c r="G92" s="17" t="s">
        <v>1312</v>
      </c>
      <c r="H92" s="17" t="s">
        <v>343</v>
      </c>
      <c r="I92" s="17" t="s">
        <v>1313</v>
      </c>
      <c r="J92" s="17" t="s">
        <v>853</v>
      </c>
      <c r="K92" s="17" t="s">
        <v>108</v>
      </c>
      <c r="L92" s="21" t="s">
        <v>59</v>
      </c>
      <c r="M92" s="17"/>
    </row>
    <row r="93" customFormat="false" ht="78" hidden="false" customHeight="true" outlineLevel="0" collapsed="false">
      <c r="A93" s="18" t="s">
        <v>1314</v>
      </c>
      <c r="B93" s="21" t="s">
        <v>742</v>
      </c>
      <c r="C93" s="19" t="s">
        <v>709</v>
      </c>
      <c r="D93" s="19" t="s">
        <v>710</v>
      </c>
      <c r="E93" s="19" t="s">
        <v>1315</v>
      </c>
      <c r="F93" s="19" t="s">
        <v>1316</v>
      </c>
      <c r="G93" s="19" t="s">
        <v>1317</v>
      </c>
      <c r="H93" s="19" t="s">
        <v>1318</v>
      </c>
      <c r="I93" s="19" t="s">
        <v>1319</v>
      </c>
      <c r="J93" s="19" t="s">
        <v>720</v>
      </c>
      <c r="K93" s="19" t="s">
        <v>108</v>
      </c>
      <c r="L93" s="21" t="s">
        <v>59</v>
      </c>
      <c r="M93" s="19"/>
    </row>
    <row r="94" customFormat="false" ht="78" hidden="false" customHeight="true" outlineLevel="0" collapsed="false">
      <c r="A94" s="15" t="s">
        <v>1320</v>
      </c>
      <c r="B94" s="21" t="s">
        <v>742</v>
      </c>
      <c r="C94" s="17" t="s">
        <v>709</v>
      </c>
      <c r="D94" s="17" t="s">
        <v>710</v>
      </c>
      <c r="E94" s="17" t="s">
        <v>1321</v>
      </c>
      <c r="F94" s="17" t="s">
        <v>1322</v>
      </c>
      <c r="G94" s="17" t="s">
        <v>1323</v>
      </c>
      <c r="H94" s="17" t="s">
        <v>1324</v>
      </c>
      <c r="I94" s="17" t="s">
        <v>1325</v>
      </c>
      <c r="J94" s="17" t="s">
        <v>1326</v>
      </c>
      <c r="K94" s="17" t="s">
        <v>108</v>
      </c>
      <c r="L94" s="21" t="s">
        <v>59</v>
      </c>
      <c r="M94" s="17"/>
    </row>
    <row r="95" customFormat="false" ht="78" hidden="false" customHeight="true" outlineLevel="0" collapsed="false">
      <c r="A95" s="18" t="s">
        <v>1327</v>
      </c>
      <c r="B95" s="21" t="s">
        <v>742</v>
      </c>
      <c r="C95" s="19" t="s">
        <v>709</v>
      </c>
      <c r="D95" s="19" t="s">
        <v>710</v>
      </c>
      <c r="E95" s="19" t="s">
        <v>1328</v>
      </c>
      <c r="F95" s="19" t="s">
        <v>1329</v>
      </c>
      <c r="G95" s="19" t="s">
        <v>1330</v>
      </c>
      <c r="H95" s="19" t="s">
        <v>739</v>
      </c>
      <c r="I95" s="19" t="s">
        <v>1331</v>
      </c>
      <c r="J95" s="19" t="s">
        <v>1332</v>
      </c>
      <c r="K95" s="19" t="s">
        <v>108</v>
      </c>
      <c r="L95" s="21" t="s">
        <v>59</v>
      </c>
      <c r="M95" s="19"/>
    </row>
    <row r="96" customFormat="false" ht="78" hidden="false" customHeight="true" outlineLevel="0" collapsed="false">
      <c r="A96" s="15" t="s">
        <v>1333</v>
      </c>
      <c r="B96" s="21" t="s">
        <v>742</v>
      </c>
      <c r="C96" s="17" t="s">
        <v>709</v>
      </c>
      <c r="D96" s="17" t="s">
        <v>710</v>
      </c>
      <c r="E96" s="17" t="s">
        <v>1334</v>
      </c>
      <c r="F96" s="17" t="s">
        <v>1335</v>
      </c>
      <c r="G96" s="17" t="s">
        <v>740</v>
      </c>
      <c r="H96" s="17" t="s">
        <v>739</v>
      </c>
      <c r="I96" s="17" t="s">
        <v>804</v>
      </c>
      <c r="J96" s="17" t="s">
        <v>1336</v>
      </c>
      <c r="K96" s="17" t="s">
        <v>108</v>
      </c>
      <c r="L96" s="21" t="s">
        <v>59</v>
      </c>
      <c r="M96" s="17"/>
    </row>
    <row r="97" customFormat="false" ht="78" hidden="false" customHeight="true" outlineLevel="0" collapsed="false">
      <c r="A97" s="18" t="s">
        <v>1337</v>
      </c>
      <c r="B97" s="21" t="s">
        <v>742</v>
      </c>
      <c r="C97" s="19" t="s">
        <v>709</v>
      </c>
      <c r="D97" s="19" t="s">
        <v>710</v>
      </c>
      <c r="E97" s="19" t="s">
        <v>1338</v>
      </c>
      <c r="F97" s="19" t="s">
        <v>1339</v>
      </c>
      <c r="G97" s="19" t="s">
        <v>1340</v>
      </c>
      <c r="H97" s="19" t="s">
        <v>1341</v>
      </c>
      <c r="I97" s="19" t="s">
        <v>1342</v>
      </c>
      <c r="J97" s="19" t="s">
        <v>1343</v>
      </c>
      <c r="K97" s="19" t="s">
        <v>91</v>
      </c>
      <c r="L97" s="21" t="s">
        <v>59</v>
      </c>
      <c r="M97" s="19"/>
    </row>
    <row r="98" customFormat="false" ht="78" hidden="false" customHeight="true" outlineLevel="0" collapsed="false">
      <c r="A98" s="15" t="s">
        <v>1344</v>
      </c>
      <c r="B98" s="21" t="s">
        <v>742</v>
      </c>
      <c r="C98" s="17" t="s">
        <v>709</v>
      </c>
      <c r="D98" s="17" t="s">
        <v>710</v>
      </c>
      <c r="E98" s="17" t="s">
        <v>1345</v>
      </c>
      <c r="F98" s="17" t="s">
        <v>1346</v>
      </c>
      <c r="G98" s="17" t="s">
        <v>1347</v>
      </c>
      <c r="H98" s="17" t="s">
        <v>1348</v>
      </c>
      <c r="I98" s="17" t="s">
        <v>720</v>
      </c>
      <c r="J98" s="17" t="s">
        <v>1349</v>
      </c>
      <c r="K98" s="17" t="s">
        <v>108</v>
      </c>
      <c r="L98" s="21" t="s">
        <v>59</v>
      </c>
      <c r="M98" s="17"/>
    </row>
    <row r="99" customFormat="false" ht="78" hidden="false" customHeight="true" outlineLevel="0" collapsed="false">
      <c r="A99" s="18" t="s">
        <v>1350</v>
      </c>
      <c r="B99" s="21" t="s">
        <v>742</v>
      </c>
      <c r="C99" s="19" t="s">
        <v>709</v>
      </c>
      <c r="D99" s="19" t="s">
        <v>710</v>
      </c>
      <c r="E99" s="19" t="s">
        <v>1351</v>
      </c>
      <c r="F99" s="19" t="s">
        <v>1352</v>
      </c>
      <c r="G99" s="19" t="s">
        <v>1353</v>
      </c>
      <c r="H99" s="19" t="s">
        <v>1354</v>
      </c>
      <c r="I99" s="19" t="s">
        <v>1355</v>
      </c>
      <c r="J99" s="19" t="s">
        <v>1356</v>
      </c>
      <c r="K99" s="19" t="s">
        <v>108</v>
      </c>
      <c r="L99" s="21" t="s">
        <v>59</v>
      </c>
      <c r="M99" s="19"/>
    </row>
    <row r="100" customFormat="false" ht="78" hidden="false" customHeight="true" outlineLevel="0" collapsed="false">
      <c r="A100" s="15" t="s">
        <v>1357</v>
      </c>
      <c r="B100" s="21" t="s">
        <v>742</v>
      </c>
      <c r="C100" s="17" t="s">
        <v>1358</v>
      </c>
      <c r="D100" s="17" t="s">
        <v>51</v>
      </c>
      <c r="E100" s="17" t="s">
        <v>1359</v>
      </c>
      <c r="F100" s="17" t="s">
        <v>1360</v>
      </c>
      <c r="G100" s="17" t="s">
        <v>1361</v>
      </c>
      <c r="H100" s="17" t="s">
        <v>67</v>
      </c>
      <c r="I100" s="17" t="s">
        <v>1362</v>
      </c>
      <c r="J100" s="17" t="s">
        <v>1363</v>
      </c>
      <c r="K100" s="17" t="s">
        <v>67</v>
      </c>
      <c r="L100" s="21" t="s">
        <v>59</v>
      </c>
      <c r="M100" s="17"/>
    </row>
    <row r="101" customFormat="false" ht="78" hidden="false" customHeight="true" outlineLevel="0" collapsed="false">
      <c r="A101" s="18" t="s">
        <v>1364</v>
      </c>
      <c r="B101" s="21" t="s">
        <v>742</v>
      </c>
      <c r="C101" s="19" t="s">
        <v>1358</v>
      </c>
      <c r="D101" s="19" t="s">
        <v>51</v>
      </c>
      <c r="E101" s="19" t="s">
        <v>1365</v>
      </c>
      <c r="F101" s="19" t="s">
        <v>1366</v>
      </c>
      <c r="G101" s="19" t="s">
        <v>1070</v>
      </c>
      <c r="H101" s="19" t="s">
        <v>1367</v>
      </c>
      <c r="I101" s="19" t="s">
        <v>1368</v>
      </c>
      <c r="J101" s="19" t="s">
        <v>1369</v>
      </c>
      <c r="K101" s="19" t="s">
        <v>387</v>
      </c>
      <c r="L101" s="21" t="s">
        <v>59</v>
      </c>
      <c r="M101" s="19"/>
    </row>
  </sheetData>
  <autoFilter ref="A1:M101"/>
  <conditionalFormatting sqref="A2:M101">
    <cfRule type="expression" priority="2" aboveAverage="0" equalAverage="0" bottom="0" percent="0" rank="0" text="" dxfId="6">
      <formula>$L2="Done"</formula>
    </cfRule>
  </conditionalFormatting>
  <conditionalFormatting sqref="L2:L101">
    <cfRule type="expression" priority="3" aboveAverage="0" equalAverage="0" bottom="0" percent="0" rank="0" text="" dxfId="7">
      <formula>$L2="In progress"</formula>
    </cfRule>
    <cfRule type="expression" priority="4" aboveAverage="0" equalAverage="0" bottom="0" percent="0" rank="0" text="" dxfId="8">
      <formula>$L2="Stuck"</formula>
    </cfRule>
  </conditionalFormatting>
  <conditionalFormatting sqref="A2:A101">
    <cfRule type="expression" priority="5" aboveAverage="0" equalAverage="0" bottom="0" percent="0" rank="0" text="" dxfId="7">
      <formula>$L2="In progress"</formula>
    </cfRule>
  </conditionalFormatting>
  <dataValidations count="1">
    <dataValidation allowBlank="false" error="Pick a status" errorStyle="stop" errorTitle="Status" operator="between" showDropDown="false" showErrorMessage="false" showInputMessage="false" sqref="L2:L101" type="list">
      <formula1>"Not started,In progress,Done,Stuck"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2C"/>
    <pageSetUpPr fitToPage="tru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72"/>
    <col collapsed="false" customWidth="true" hidden="false" outlineLevel="0" max="7" min="7" style="0" width="42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22" t="s">
        <v>35</v>
      </c>
      <c r="B1" s="22" t="s">
        <v>36</v>
      </c>
      <c r="C1" s="22" t="s">
        <v>37</v>
      </c>
      <c r="D1" s="22" t="s">
        <v>38</v>
      </c>
      <c r="E1" s="22" t="s">
        <v>39</v>
      </c>
      <c r="F1" s="22" t="s">
        <v>40</v>
      </c>
      <c r="G1" s="22" t="s">
        <v>41</v>
      </c>
      <c r="H1" s="22" t="s">
        <v>42</v>
      </c>
      <c r="I1" s="22" t="s">
        <v>43</v>
      </c>
      <c r="J1" s="22" t="s">
        <v>44</v>
      </c>
      <c r="K1" s="22" t="s">
        <v>45</v>
      </c>
      <c r="L1" s="22" t="s">
        <v>46</v>
      </c>
      <c r="M1" s="22" t="s">
        <v>47</v>
      </c>
    </row>
    <row r="2" customFormat="false" ht="78" hidden="false" customHeight="true" outlineLevel="0" collapsed="false">
      <c r="A2" s="15" t="s">
        <v>1370</v>
      </c>
      <c r="B2" s="23" t="s">
        <v>1371</v>
      </c>
      <c r="C2" s="17" t="s">
        <v>402</v>
      </c>
      <c r="D2" s="17" t="s">
        <v>403</v>
      </c>
      <c r="E2" s="17" t="s">
        <v>1372</v>
      </c>
      <c r="F2" s="17" t="s">
        <v>1373</v>
      </c>
      <c r="G2" s="17" t="s">
        <v>1374</v>
      </c>
      <c r="H2" s="17" t="s">
        <v>1375</v>
      </c>
      <c r="I2" s="17" t="s">
        <v>415</v>
      </c>
      <c r="J2" s="17" t="s">
        <v>1376</v>
      </c>
      <c r="K2" s="17" t="s">
        <v>108</v>
      </c>
      <c r="L2" s="23" t="s">
        <v>59</v>
      </c>
      <c r="M2" s="17"/>
    </row>
    <row r="3" customFormat="false" ht="78" hidden="false" customHeight="true" outlineLevel="0" collapsed="false">
      <c r="A3" s="18" t="s">
        <v>1377</v>
      </c>
      <c r="B3" s="23" t="s">
        <v>1371</v>
      </c>
      <c r="C3" s="19" t="s">
        <v>402</v>
      </c>
      <c r="D3" s="19" t="s">
        <v>403</v>
      </c>
      <c r="E3" s="19" t="s">
        <v>1378</v>
      </c>
      <c r="F3" s="19" t="s">
        <v>1379</v>
      </c>
      <c r="G3" s="19" t="s">
        <v>1380</v>
      </c>
      <c r="H3" s="19" t="s">
        <v>1381</v>
      </c>
      <c r="I3" s="19" t="s">
        <v>415</v>
      </c>
      <c r="J3" s="19" t="s">
        <v>1022</v>
      </c>
      <c r="K3" s="19" t="s">
        <v>108</v>
      </c>
      <c r="L3" s="23" t="s">
        <v>59</v>
      </c>
      <c r="M3" s="19"/>
    </row>
    <row r="4" customFormat="false" ht="78" hidden="false" customHeight="true" outlineLevel="0" collapsed="false">
      <c r="A4" s="15" t="s">
        <v>1382</v>
      </c>
      <c r="B4" s="23" t="s">
        <v>1371</v>
      </c>
      <c r="C4" s="17" t="s">
        <v>402</v>
      </c>
      <c r="D4" s="17" t="s">
        <v>403</v>
      </c>
      <c r="E4" s="17" t="s">
        <v>1383</v>
      </c>
      <c r="F4" s="17" t="s">
        <v>1384</v>
      </c>
      <c r="G4" s="17" t="s">
        <v>1385</v>
      </c>
      <c r="H4" s="17" t="s">
        <v>1386</v>
      </c>
      <c r="I4" s="17" t="s">
        <v>1387</v>
      </c>
      <c r="J4" s="17" t="s">
        <v>1388</v>
      </c>
      <c r="K4" s="17" t="s">
        <v>108</v>
      </c>
      <c r="L4" s="23" t="s">
        <v>59</v>
      </c>
      <c r="M4" s="17"/>
    </row>
    <row r="5" customFormat="false" ht="78" hidden="false" customHeight="true" outlineLevel="0" collapsed="false">
      <c r="A5" s="18" t="s">
        <v>1389</v>
      </c>
      <c r="B5" s="23" t="s">
        <v>1371</v>
      </c>
      <c r="C5" s="19" t="s">
        <v>402</v>
      </c>
      <c r="D5" s="19" t="s">
        <v>403</v>
      </c>
      <c r="E5" s="19" t="s">
        <v>1390</v>
      </c>
      <c r="F5" s="19" t="s">
        <v>1391</v>
      </c>
      <c r="G5" s="19" t="s">
        <v>1392</v>
      </c>
      <c r="H5" s="19" t="s">
        <v>129</v>
      </c>
      <c r="I5" s="19" t="s">
        <v>415</v>
      </c>
      <c r="J5" s="19" t="s">
        <v>1393</v>
      </c>
      <c r="K5" s="19" t="s">
        <v>108</v>
      </c>
      <c r="L5" s="23" t="s">
        <v>59</v>
      </c>
      <c r="M5" s="19"/>
    </row>
    <row r="6" customFormat="false" ht="78" hidden="false" customHeight="true" outlineLevel="0" collapsed="false">
      <c r="A6" s="15" t="s">
        <v>1394</v>
      </c>
      <c r="B6" s="23" t="s">
        <v>1371</v>
      </c>
      <c r="C6" s="17" t="s">
        <v>402</v>
      </c>
      <c r="D6" s="17" t="s">
        <v>403</v>
      </c>
      <c r="E6" s="17" t="s">
        <v>1395</v>
      </c>
      <c r="F6" s="17" t="s">
        <v>1396</v>
      </c>
      <c r="G6" s="17" t="s">
        <v>409</v>
      </c>
      <c r="H6" s="17" t="s">
        <v>1397</v>
      </c>
      <c r="I6" s="17" t="s">
        <v>1398</v>
      </c>
      <c r="J6" s="17" t="s">
        <v>1399</v>
      </c>
      <c r="K6" s="17" t="s">
        <v>75</v>
      </c>
      <c r="L6" s="23" t="s">
        <v>59</v>
      </c>
      <c r="M6" s="17"/>
    </row>
    <row r="7" customFormat="false" ht="78" hidden="false" customHeight="true" outlineLevel="0" collapsed="false">
      <c r="A7" s="18" t="s">
        <v>1400</v>
      </c>
      <c r="B7" s="23" t="s">
        <v>1371</v>
      </c>
      <c r="C7" s="19" t="s">
        <v>402</v>
      </c>
      <c r="D7" s="19" t="s">
        <v>403</v>
      </c>
      <c r="E7" s="19" t="s">
        <v>1401</v>
      </c>
      <c r="F7" s="19" t="s">
        <v>1402</v>
      </c>
      <c r="G7" s="19" t="s">
        <v>1403</v>
      </c>
      <c r="H7" s="19" t="s">
        <v>1077</v>
      </c>
      <c r="I7" s="19" t="s">
        <v>1404</v>
      </c>
      <c r="J7" s="19" t="s">
        <v>1076</v>
      </c>
      <c r="K7" s="19" t="s">
        <v>108</v>
      </c>
      <c r="L7" s="23" t="s">
        <v>59</v>
      </c>
      <c r="M7" s="19"/>
    </row>
    <row r="8" customFormat="false" ht="78" hidden="false" customHeight="true" outlineLevel="0" collapsed="false">
      <c r="A8" s="15" t="s">
        <v>1405</v>
      </c>
      <c r="B8" s="23" t="s">
        <v>1371</v>
      </c>
      <c r="C8" s="17" t="s">
        <v>402</v>
      </c>
      <c r="D8" s="17" t="s">
        <v>403</v>
      </c>
      <c r="E8" s="17" t="s">
        <v>1406</v>
      </c>
      <c r="F8" s="17" t="s">
        <v>1407</v>
      </c>
      <c r="G8" s="17" t="s">
        <v>1408</v>
      </c>
      <c r="H8" s="17" t="s">
        <v>1409</v>
      </c>
      <c r="I8" s="17" t="s">
        <v>415</v>
      </c>
      <c r="J8" s="17" t="s">
        <v>1409</v>
      </c>
      <c r="K8" s="17" t="s">
        <v>1410</v>
      </c>
      <c r="L8" s="23" t="s">
        <v>59</v>
      </c>
      <c r="M8" s="17"/>
    </row>
    <row r="9" customFormat="false" ht="78" hidden="false" customHeight="true" outlineLevel="0" collapsed="false">
      <c r="A9" s="18" t="s">
        <v>1411</v>
      </c>
      <c r="B9" s="23" t="s">
        <v>1371</v>
      </c>
      <c r="C9" s="19" t="s">
        <v>402</v>
      </c>
      <c r="D9" s="19" t="s">
        <v>403</v>
      </c>
      <c r="E9" s="19" t="s">
        <v>1412</v>
      </c>
      <c r="F9" s="19" t="s">
        <v>1413</v>
      </c>
      <c r="G9" s="19" t="s">
        <v>1414</v>
      </c>
      <c r="H9" s="19" t="s">
        <v>963</v>
      </c>
      <c r="I9" s="19" t="s">
        <v>964</v>
      </c>
      <c r="J9" s="19" t="s">
        <v>1415</v>
      </c>
      <c r="K9" s="19" t="s">
        <v>108</v>
      </c>
      <c r="L9" s="23" t="s">
        <v>59</v>
      </c>
      <c r="M9" s="19"/>
    </row>
    <row r="10" customFormat="false" ht="78" hidden="false" customHeight="true" outlineLevel="0" collapsed="false">
      <c r="A10" s="15" t="s">
        <v>1416</v>
      </c>
      <c r="B10" s="23" t="s">
        <v>1371</v>
      </c>
      <c r="C10" s="17" t="s">
        <v>424</v>
      </c>
      <c r="D10" s="17" t="s">
        <v>425</v>
      </c>
      <c r="E10" s="17" t="s">
        <v>1417</v>
      </c>
      <c r="F10" s="17" t="s">
        <v>1418</v>
      </c>
      <c r="G10" s="17" t="s">
        <v>1419</v>
      </c>
      <c r="H10" s="17" t="s">
        <v>1420</v>
      </c>
      <c r="I10" s="17" t="s">
        <v>853</v>
      </c>
      <c r="J10" s="17" t="s">
        <v>1421</v>
      </c>
      <c r="K10" s="17" t="s">
        <v>108</v>
      </c>
      <c r="L10" s="23" t="s">
        <v>59</v>
      </c>
      <c r="M10" s="17"/>
    </row>
    <row r="11" customFormat="false" ht="78" hidden="false" customHeight="true" outlineLevel="0" collapsed="false">
      <c r="A11" s="18" t="s">
        <v>1422</v>
      </c>
      <c r="B11" s="23" t="s">
        <v>1371</v>
      </c>
      <c r="C11" s="19" t="s">
        <v>424</v>
      </c>
      <c r="D11" s="19" t="s">
        <v>425</v>
      </c>
      <c r="E11" s="19" t="s">
        <v>1423</v>
      </c>
      <c r="F11" s="19" t="s">
        <v>1424</v>
      </c>
      <c r="G11" s="19" t="s">
        <v>1425</v>
      </c>
      <c r="H11" s="19" t="s">
        <v>1426</v>
      </c>
      <c r="I11" s="19" t="s">
        <v>1427</v>
      </c>
      <c r="J11" s="19" t="s">
        <v>1428</v>
      </c>
      <c r="K11" s="19" t="s">
        <v>108</v>
      </c>
      <c r="L11" s="23" t="s">
        <v>59</v>
      </c>
      <c r="M11" s="19"/>
    </row>
    <row r="12" customFormat="false" ht="78" hidden="false" customHeight="true" outlineLevel="0" collapsed="false">
      <c r="A12" s="15" t="s">
        <v>1429</v>
      </c>
      <c r="B12" s="23" t="s">
        <v>1371</v>
      </c>
      <c r="C12" s="17" t="s">
        <v>424</v>
      </c>
      <c r="D12" s="17" t="s">
        <v>425</v>
      </c>
      <c r="E12" s="17" t="s">
        <v>1430</v>
      </c>
      <c r="F12" s="17" t="s">
        <v>1431</v>
      </c>
      <c r="G12" s="17" t="s">
        <v>1432</v>
      </c>
      <c r="H12" s="17" t="s">
        <v>1433</v>
      </c>
      <c r="I12" s="17" t="s">
        <v>1434</v>
      </c>
      <c r="J12" s="17" t="s">
        <v>1435</v>
      </c>
      <c r="K12" s="17" t="s">
        <v>108</v>
      </c>
      <c r="L12" s="23" t="s">
        <v>59</v>
      </c>
      <c r="M12" s="17"/>
    </row>
    <row r="13" customFormat="false" ht="78" hidden="false" customHeight="true" outlineLevel="0" collapsed="false">
      <c r="A13" s="18" t="s">
        <v>1436</v>
      </c>
      <c r="B13" s="23" t="s">
        <v>1371</v>
      </c>
      <c r="C13" s="19" t="s">
        <v>424</v>
      </c>
      <c r="D13" s="19" t="s">
        <v>425</v>
      </c>
      <c r="E13" s="19" t="s">
        <v>1437</v>
      </c>
      <c r="F13" s="19" t="s">
        <v>1438</v>
      </c>
      <c r="G13" s="19" t="s">
        <v>1439</v>
      </c>
      <c r="H13" s="19" t="s">
        <v>1440</v>
      </c>
      <c r="I13" s="19" t="s">
        <v>675</v>
      </c>
      <c r="J13" s="19" t="s">
        <v>1441</v>
      </c>
      <c r="K13" s="19" t="s">
        <v>108</v>
      </c>
      <c r="L13" s="23" t="s">
        <v>59</v>
      </c>
      <c r="M13" s="19"/>
    </row>
    <row r="14" customFormat="false" ht="78" hidden="false" customHeight="true" outlineLevel="0" collapsed="false">
      <c r="A14" s="15" t="s">
        <v>1442</v>
      </c>
      <c r="B14" s="23" t="s">
        <v>1371</v>
      </c>
      <c r="C14" s="17" t="s">
        <v>424</v>
      </c>
      <c r="D14" s="17" t="s">
        <v>425</v>
      </c>
      <c r="E14" s="17" t="s">
        <v>1443</v>
      </c>
      <c r="F14" s="17" t="s">
        <v>1444</v>
      </c>
      <c r="G14" s="17" t="s">
        <v>1445</v>
      </c>
      <c r="H14" s="17" t="s">
        <v>174</v>
      </c>
      <c r="I14" s="17" t="s">
        <v>1446</v>
      </c>
      <c r="J14" s="17" t="s">
        <v>1447</v>
      </c>
      <c r="K14" s="17" t="s">
        <v>108</v>
      </c>
      <c r="L14" s="23" t="s">
        <v>59</v>
      </c>
      <c r="M14" s="17"/>
    </row>
    <row r="15" customFormat="false" ht="78" hidden="false" customHeight="true" outlineLevel="0" collapsed="false">
      <c r="A15" s="18" t="s">
        <v>1448</v>
      </c>
      <c r="B15" s="23" t="s">
        <v>1371</v>
      </c>
      <c r="C15" s="19" t="s">
        <v>424</v>
      </c>
      <c r="D15" s="19" t="s">
        <v>425</v>
      </c>
      <c r="E15" s="19" t="s">
        <v>1449</v>
      </c>
      <c r="F15" s="19" t="s">
        <v>1450</v>
      </c>
      <c r="G15" s="19" t="s">
        <v>1451</v>
      </c>
      <c r="H15" s="19" t="s">
        <v>1452</v>
      </c>
      <c r="I15" s="19" t="s">
        <v>1453</v>
      </c>
      <c r="J15" s="19" t="s">
        <v>296</v>
      </c>
      <c r="K15" s="19" t="s">
        <v>108</v>
      </c>
      <c r="L15" s="23" t="s">
        <v>59</v>
      </c>
      <c r="M15" s="19"/>
    </row>
    <row r="16" customFormat="false" ht="78" hidden="false" customHeight="true" outlineLevel="0" collapsed="false">
      <c r="A16" s="15" t="s">
        <v>1454</v>
      </c>
      <c r="B16" s="23" t="s">
        <v>1371</v>
      </c>
      <c r="C16" s="17" t="s">
        <v>424</v>
      </c>
      <c r="D16" s="17" t="s">
        <v>425</v>
      </c>
      <c r="E16" s="17" t="s">
        <v>1455</v>
      </c>
      <c r="F16" s="17" t="s">
        <v>1456</v>
      </c>
      <c r="G16" s="17" t="s">
        <v>1457</v>
      </c>
      <c r="H16" s="17" t="s">
        <v>1458</v>
      </c>
      <c r="I16" s="17" t="s">
        <v>1459</v>
      </c>
      <c r="J16" s="17" t="s">
        <v>1460</v>
      </c>
      <c r="K16" s="17" t="s">
        <v>108</v>
      </c>
      <c r="L16" s="23" t="s">
        <v>59</v>
      </c>
      <c r="M16" s="17"/>
    </row>
    <row r="17" customFormat="false" ht="78" hidden="false" customHeight="true" outlineLevel="0" collapsed="false">
      <c r="A17" s="18" t="s">
        <v>1461</v>
      </c>
      <c r="B17" s="23" t="s">
        <v>1371</v>
      </c>
      <c r="C17" s="19" t="s">
        <v>424</v>
      </c>
      <c r="D17" s="19" t="s">
        <v>425</v>
      </c>
      <c r="E17" s="19" t="s">
        <v>1462</v>
      </c>
      <c r="F17" s="19" t="s">
        <v>1463</v>
      </c>
      <c r="G17" s="19" t="s">
        <v>1464</v>
      </c>
      <c r="H17" s="19" t="s">
        <v>1465</v>
      </c>
      <c r="I17" s="19" t="s">
        <v>1466</v>
      </c>
      <c r="J17" s="19" t="s">
        <v>1467</v>
      </c>
      <c r="K17" s="19" t="s">
        <v>108</v>
      </c>
      <c r="L17" s="23" t="s">
        <v>59</v>
      </c>
      <c r="M17" s="19"/>
    </row>
    <row r="18" customFormat="false" ht="78" hidden="false" customHeight="true" outlineLevel="0" collapsed="false">
      <c r="A18" s="15" t="s">
        <v>1468</v>
      </c>
      <c r="B18" s="23" t="s">
        <v>1371</v>
      </c>
      <c r="C18" s="17" t="s">
        <v>452</v>
      </c>
      <c r="D18" s="17" t="s">
        <v>453</v>
      </c>
      <c r="E18" s="17" t="s">
        <v>1469</v>
      </c>
      <c r="F18" s="17" t="s">
        <v>1470</v>
      </c>
      <c r="G18" s="17" t="s">
        <v>1471</v>
      </c>
      <c r="H18" s="17" t="s">
        <v>1472</v>
      </c>
      <c r="I18" s="17" t="s">
        <v>1473</v>
      </c>
      <c r="J18" s="17" t="s">
        <v>1474</v>
      </c>
      <c r="K18" s="17" t="s">
        <v>108</v>
      </c>
      <c r="L18" s="23" t="s">
        <v>59</v>
      </c>
      <c r="M18" s="17"/>
    </row>
    <row r="19" customFormat="false" ht="78" hidden="false" customHeight="true" outlineLevel="0" collapsed="false">
      <c r="A19" s="18" t="s">
        <v>1475</v>
      </c>
      <c r="B19" s="23" t="s">
        <v>1371</v>
      </c>
      <c r="C19" s="19" t="s">
        <v>452</v>
      </c>
      <c r="D19" s="19" t="s">
        <v>453</v>
      </c>
      <c r="E19" s="19" t="s">
        <v>1476</v>
      </c>
      <c r="F19" s="19" t="s">
        <v>1477</v>
      </c>
      <c r="G19" s="19" t="s">
        <v>1286</v>
      </c>
      <c r="H19" s="19" t="s">
        <v>174</v>
      </c>
      <c r="I19" s="19" t="s">
        <v>1478</v>
      </c>
      <c r="J19" s="19" t="s">
        <v>1479</v>
      </c>
      <c r="K19" s="19" t="s">
        <v>108</v>
      </c>
      <c r="L19" s="23" t="s">
        <v>59</v>
      </c>
      <c r="M19" s="19"/>
    </row>
    <row r="20" customFormat="false" ht="78" hidden="false" customHeight="true" outlineLevel="0" collapsed="false">
      <c r="A20" s="15" t="s">
        <v>1480</v>
      </c>
      <c r="B20" s="23" t="s">
        <v>1371</v>
      </c>
      <c r="C20" s="17" t="s">
        <v>452</v>
      </c>
      <c r="D20" s="17" t="s">
        <v>453</v>
      </c>
      <c r="E20" s="17" t="s">
        <v>1481</v>
      </c>
      <c r="F20" s="17" t="s">
        <v>1482</v>
      </c>
      <c r="G20" s="17" t="s">
        <v>1483</v>
      </c>
      <c r="H20" s="17" t="s">
        <v>1103</v>
      </c>
      <c r="I20" s="17" t="s">
        <v>1484</v>
      </c>
      <c r="J20" s="17" t="s">
        <v>1485</v>
      </c>
      <c r="K20" s="17" t="s">
        <v>108</v>
      </c>
      <c r="L20" s="23" t="s">
        <v>59</v>
      </c>
      <c r="M20" s="17"/>
    </row>
    <row r="21" customFormat="false" ht="78" hidden="false" customHeight="true" outlineLevel="0" collapsed="false">
      <c r="A21" s="18" t="s">
        <v>1486</v>
      </c>
      <c r="B21" s="23" t="s">
        <v>1371</v>
      </c>
      <c r="C21" s="19" t="s">
        <v>452</v>
      </c>
      <c r="D21" s="19" t="s">
        <v>453</v>
      </c>
      <c r="E21" s="19" t="s">
        <v>1487</v>
      </c>
      <c r="F21" s="19" t="s">
        <v>1488</v>
      </c>
      <c r="G21" s="19" t="s">
        <v>1489</v>
      </c>
      <c r="H21" s="19" t="s">
        <v>1490</v>
      </c>
      <c r="I21" s="19" t="s">
        <v>1491</v>
      </c>
      <c r="J21" s="19" t="s">
        <v>1492</v>
      </c>
      <c r="K21" s="19" t="s">
        <v>108</v>
      </c>
      <c r="L21" s="23" t="s">
        <v>59</v>
      </c>
      <c r="M21" s="19"/>
    </row>
    <row r="22" customFormat="false" ht="78" hidden="false" customHeight="true" outlineLevel="0" collapsed="false">
      <c r="A22" s="15" t="s">
        <v>1493</v>
      </c>
      <c r="B22" s="23" t="s">
        <v>1371</v>
      </c>
      <c r="C22" s="17" t="s">
        <v>452</v>
      </c>
      <c r="D22" s="17" t="s">
        <v>453</v>
      </c>
      <c r="E22" s="17" t="s">
        <v>1494</v>
      </c>
      <c r="F22" s="17" t="s">
        <v>1495</v>
      </c>
      <c r="G22" s="17" t="s">
        <v>1496</v>
      </c>
      <c r="H22" s="17" t="s">
        <v>1497</v>
      </c>
      <c r="I22" s="17" t="s">
        <v>1498</v>
      </c>
      <c r="J22" s="17" t="s">
        <v>1499</v>
      </c>
      <c r="K22" s="17" t="s">
        <v>108</v>
      </c>
      <c r="L22" s="23" t="s">
        <v>59</v>
      </c>
      <c r="M22" s="17"/>
    </row>
    <row r="23" customFormat="false" ht="78" hidden="false" customHeight="true" outlineLevel="0" collapsed="false">
      <c r="A23" s="18" t="s">
        <v>1500</v>
      </c>
      <c r="B23" s="23" t="s">
        <v>1371</v>
      </c>
      <c r="C23" s="19" t="s">
        <v>452</v>
      </c>
      <c r="D23" s="19" t="s">
        <v>453</v>
      </c>
      <c r="E23" s="19" t="s">
        <v>1501</v>
      </c>
      <c r="F23" s="19" t="s">
        <v>1502</v>
      </c>
      <c r="G23" s="19" t="s">
        <v>1408</v>
      </c>
      <c r="H23" s="19" t="s">
        <v>1409</v>
      </c>
      <c r="I23" s="19" t="s">
        <v>415</v>
      </c>
      <c r="J23" s="19" t="s">
        <v>1409</v>
      </c>
      <c r="K23" s="19" t="s">
        <v>1503</v>
      </c>
      <c r="L23" s="23" t="s">
        <v>59</v>
      </c>
      <c r="M23" s="19"/>
    </row>
    <row r="24" customFormat="false" ht="78" hidden="false" customHeight="true" outlineLevel="0" collapsed="false">
      <c r="A24" s="15" t="s">
        <v>1504</v>
      </c>
      <c r="B24" s="23" t="s">
        <v>1371</v>
      </c>
      <c r="C24" s="17" t="s">
        <v>233</v>
      </c>
      <c r="D24" s="17" t="s">
        <v>234</v>
      </c>
      <c r="E24" s="17" t="s">
        <v>1505</v>
      </c>
      <c r="F24" s="17" t="s">
        <v>1506</v>
      </c>
      <c r="G24" s="17" t="s">
        <v>1507</v>
      </c>
      <c r="H24" s="17" t="s">
        <v>1508</v>
      </c>
      <c r="I24" s="17" t="s">
        <v>1509</v>
      </c>
      <c r="J24" s="17" t="s">
        <v>1510</v>
      </c>
      <c r="K24" s="17" t="s">
        <v>108</v>
      </c>
      <c r="L24" s="23" t="s">
        <v>59</v>
      </c>
      <c r="M24" s="17"/>
    </row>
    <row r="25" customFormat="false" ht="78" hidden="false" customHeight="true" outlineLevel="0" collapsed="false">
      <c r="A25" s="18" t="s">
        <v>1511</v>
      </c>
      <c r="B25" s="23" t="s">
        <v>1371</v>
      </c>
      <c r="C25" s="19" t="s">
        <v>233</v>
      </c>
      <c r="D25" s="19" t="s">
        <v>234</v>
      </c>
      <c r="E25" s="19" t="s">
        <v>1512</v>
      </c>
      <c r="F25" s="19" t="s">
        <v>1513</v>
      </c>
      <c r="G25" s="19" t="s">
        <v>1514</v>
      </c>
      <c r="H25" s="19" t="s">
        <v>1515</v>
      </c>
      <c r="I25" s="19" t="s">
        <v>1516</v>
      </c>
      <c r="J25" s="19" t="s">
        <v>1517</v>
      </c>
      <c r="K25" s="19" t="s">
        <v>108</v>
      </c>
      <c r="L25" s="23" t="s">
        <v>59</v>
      </c>
      <c r="M25" s="19"/>
    </row>
    <row r="26" customFormat="false" ht="78" hidden="false" customHeight="true" outlineLevel="0" collapsed="false">
      <c r="A26" s="15" t="s">
        <v>1518</v>
      </c>
      <c r="B26" s="23" t="s">
        <v>1371</v>
      </c>
      <c r="C26" s="17" t="s">
        <v>233</v>
      </c>
      <c r="D26" s="17" t="s">
        <v>234</v>
      </c>
      <c r="E26" s="17" t="s">
        <v>1519</v>
      </c>
      <c r="F26" s="17" t="s">
        <v>1520</v>
      </c>
      <c r="G26" s="17" t="s">
        <v>1185</v>
      </c>
      <c r="H26" s="17" t="s">
        <v>1245</v>
      </c>
      <c r="I26" s="17" t="s">
        <v>1521</v>
      </c>
      <c r="J26" s="17" t="s">
        <v>1522</v>
      </c>
      <c r="K26" s="17" t="s">
        <v>1523</v>
      </c>
      <c r="L26" s="23" t="s">
        <v>59</v>
      </c>
      <c r="M26" s="17"/>
    </row>
    <row r="27" customFormat="false" ht="78" hidden="false" customHeight="true" outlineLevel="0" collapsed="false">
      <c r="A27" s="18" t="s">
        <v>1524</v>
      </c>
      <c r="B27" s="23" t="s">
        <v>1371</v>
      </c>
      <c r="C27" s="19" t="s">
        <v>233</v>
      </c>
      <c r="D27" s="19" t="s">
        <v>234</v>
      </c>
      <c r="E27" s="19" t="s">
        <v>1525</v>
      </c>
      <c r="F27" s="19" t="s">
        <v>1526</v>
      </c>
      <c r="G27" s="19" t="s">
        <v>1305</v>
      </c>
      <c r="H27" s="19" t="s">
        <v>891</v>
      </c>
      <c r="I27" s="19" t="s">
        <v>1527</v>
      </c>
      <c r="J27" s="19" t="s">
        <v>1528</v>
      </c>
      <c r="K27" s="19" t="s">
        <v>1529</v>
      </c>
      <c r="L27" s="23" t="s">
        <v>59</v>
      </c>
      <c r="M27" s="19"/>
    </row>
    <row r="28" customFormat="false" ht="78" hidden="false" customHeight="true" outlineLevel="0" collapsed="false">
      <c r="A28" s="15" t="s">
        <v>1530</v>
      </c>
      <c r="B28" s="23" t="s">
        <v>1371</v>
      </c>
      <c r="C28" s="17" t="s">
        <v>233</v>
      </c>
      <c r="D28" s="17" t="s">
        <v>234</v>
      </c>
      <c r="E28" s="17" t="s">
        <v>1531</v>
      </c>
      <c r="F28" s="17" t="s">
        <v>1532</v>
      </c>
      <c r="G28" s="17" t="s">
        <v>1533</v>
      </c>
      <c r="H28" s="17" t="s">
        <v>174</v>
      </c>
      <c r="I28" s="17" t="s">
        <v>779</v>
      </c>
      <c r="J28" s="17" t="s">
        <v>1534</v>
      </c>
      <c r="K28" s="17" t="s">
        <v>108</v>
      </c>
      <c r="L28" s="23" t="s">
        <v>59</v>
      </c>
      <c r="M28" s="17"/>
    </row>
    <row r="29" customFormat="false" ht="78" hidden="false" customHeight="true" outlineLevel="0" collapsed="false">
      <c r="A29" s="18" t="s">
        <v>1535</v>
      </c>
      <c r="B29" s="23" t="s">
        <v>1371</v>
      </c>
      <c r="C29" s="19" t="s">
        <v>233</v>
      </c>
      <c r="D29" s="19" t="s">
        <v>234</v>
      </c>
      <c r="E29" s="19" t="s">
        <v>1536</v>
      </c>
      <c r="F29" s="19" t="s">
        <v>1537</v>
      </c>
      <c r="G29" s="19" t="s">
        <v>1538</v>
      </c>
      <c r="H29" s="19" t="s">
        <v>174</v>
      </c>
      <c r="I29" s="19" t="s">
        <v>804</v>
      </c>
      <c r="J29" s="19" t="s">
        <v>1539</v>
      </c>
      <c r="K29" s="19" t="s">
        <v>108</v>
      </c>
      <c r="L29" s="23" t="s">
        <v>59</v>
      </c>
      <c r="M29" s="19"/>
    </row>
    <row r="30" customFormat="false" ht="78" hidden="false" customHeight="true" outlineLevel="0" collapsed="false">
      <c r="A30" s="15" t="s">
        <v>1540</v>
      </c>
      <c r="B30" s="23" t="s">
        <v>1371</v>
      </c>
      <c r="C30" s="17" t="s">
        <v>319</v>
      </c>
      <c r="D30" s="17" t="s">
        <v>320</v>
      </c>
      <c r="E30" s="17" t="s">
        <v>1541</v>
      </c>
      <c r="F30" s="17" t="s">
        <v>1542</v>
      </c>
      <c r="G30" s="17" t="s">
        <v>1543</v>
      </c>
      <c r="H30" s="17" t="s">
        <v>1544</v>
      </c>
      <c r="I30" s="17" t="s">
        <v>1545</v>
      </c>
      <c r="J30" s="17" t="s">
        <v>1546</v>
      </c>
      <c r="K30" s="17" t="s">
        <v>108</v>
      </c>
      <c r="L30" s="23" t="s">
        <v>59</v>
      </c>
      <c r="M30" s="17"/>
    </row>
    <row r="31" customFormat="false" ht="78" hidden="false" customHeight="true" outlineLevel="0" collapsed="false">
      <c r="A31" s="18" t="s">
        <v>1547</v>
      </c>
      <c r="B31" s="23" t="s">
        <v>1371</v>
      </c>
      <c r="C31" s="19" t="s">
        <v>319</v>
      </c>
      <c r="D31" s="19" t="s">
        <v>320</v>
      </c>
      <c r="E31" s="19" t="s">
        <v>1548</v>
      </c>
      <c r="F31" s="19" t="s">
        <v>1549</v>
      </c>
      <c r="G31" s="19" t="s">
        <v>1522</v>
      </c>
      <c r="H31" s="19" t="s">
        <v>1245</v>
      </c>
      <c r="I31" s="19" t="s">
        <v>1550</v>
      </c>
      <c r="J31" s="19" t="s">
        <v>1551</v>
      </c>
      <c r="K31" s="19" t="s">
        <v>1552</v>
      </c>
      <c r="L31" s="23" t="s">
        <v>59</v>
      </c>
      <c r="M31" s="19"/>
    </row>
    <row r="32" customFormat="false" ht="78" hidden="false" customHeight="true" outlineLevel="0" collapsed="false">
      <c r="A32" s="15" t="s">
        <v>1553</v>
      </c>
      <c r="B32" s="23" t="s">
        <v>1371</v>
      </c>
      <c r="C32" s="17" t="s">
        <v>319</v>
      </c>
      <c r="D32" s="17" t="s">
        <v>320</v>
      </c>
      <c r="E32" s="17" t="s">
        <v>1554</v>
      </c>
      <c r="F32" s="17" t="s">
        <v>1555</v>
      </c>
      <c r="G32" s="17" t="s">
        <v>1556</v>
      </c>
      <c r="H32" s="17" t="s">
        <v>338</v>
      </c>
      <c r="I32" s="17" t="s">
        <v>1557</v>
      </c>
      <c r="J32" s="17" t="s">
        <v>1556</v>
      </c>
      <c r="K32" s="17" t="s">
        <v>108</v>
      </c>
      <c r="L32" s="23" t="s">
        <v>59</v>
      </c>
      <c r="M32" s="17"/>
    </row>
    <row r="33" customFormat="false" ht="78" hidden="false" customHeight="true" outlineLevel="0" collapsed="false">
      <c r="A33" s="18" t="s">
        <v>1558</v>
      </c>
      <c r="B33" s="23" t="s">
        <v>1371</v>
      </c>
      <c r="C33" s="19" t="s">
        <v>319</v>
      </c>
      <c r="D33" s="19" t="s">
        <v>320</v>
      </c>
      <c r="E33" s="19" t="s">
        <v>1559</v>
      </c>
      <c r="F33" s="19" t="s">
        <v>1560</v>
      </c>
      <c r="G33" s="19" t="s">
        <v>1561</v>
      </c>
      <c r="H33" s="19" t="s">
        <v>1076</v>
      </c>
      <c r="I33" s="19" t="s">
        <v>1562</v>
      </c>
      <c r="J33" s="19" t="s">
        <v>1563</v>
      </c>
      <c r="K33" s="19" t="s">
        <v>108</v>
      </c>
      <c r="L33" s="23" t="s">
        <v>59</v>
      </c>
      <c r="M33" s="19"/>
    </row>
    <row r="34" customFormat="false" ht="78" hidden="false" customHeight="true" outlineLevel="0" collapsed="false">
      <c r="A34" s="15" t="s">
        <v>1564</v>
      </c>
      <c r="B34" s="23" t="s">
        <v>1371</v>
      </c>
      <c r="C34" s="17" t="s">
        <v>353</v>
      </c>
      <c r="D34" s="17" t="s">
        <v>354</v>
      </c>
      <c r="E34" s="17" t="s">
        <v>1565</v>
      </c>
      <c r="F34" s="17" t="s">
        <v>1566</v>
      </c>
      <c r="G34" s="17" t="s">
        <v>1567</v>
      </c>
      <c r="H34" s="17" t="s">
        <v>1568</v>
      </c>
      <c r="I34" s="17" t="s">
        <v>1569</v>
      </c>
      <c r="J34" s="17" t="s">
        <v>121</v>
      </c>
      <c r="K34" s="17" t="s">
        <v>387</v>
      </c>
      <c r="L34" s="23" t="s">
        <v>59</v>
      </c>
      <c r="M34" s="17"/>
    </row>
    <row r="35" customFormat="false" ht="78" hidden="false" customHeight="true" outlineLevel="0" collapsed="false">
      <c r="A35" s="18" t="s">
        <v>1570</v>
      </c>
      <c r="B35" s="23" t="s">
        <v>1371</v>
      </c>
      <c r="C35" s="19" t="s">
        <v>353</v>
      </c>
      <c r="D35" s="19" t="s">
        <v>354</v>
      </c>
      <c r="E35" s="19" t="s">
        <v>1571</v>
      </c>
      <c r="F35" s="19" t="s">
        <v>1572</v>
      </c>
      <c r="G35" s="19" t="s">
        <v>442</v>
      </c>
      <c r="H35" s="19" t="s">
        <v>1573</v>
      </c>
      <c r="I35" s="19" t="s">
        <v>1574</v>
      </c>
      <c r="J35" s="19" t="s">
        <v>1575</v>
      </c>
      <c r="K35" s="19" t="s">
        <v>108</v>
      </c>
      <c r="L35" s="23" t="s">
        <v>59</v>
      </c>
      <c r="M35" s="19"/>
    </row>
    <row r="36" customFormat="false" ht="78" hidden="false" customHeight="true" outlineLevel="0" collapsed="false">
      <c r="A36" s="15" t="s">
        <v>1576</v>
      </c>
      <c r="B36" s="23" t="s">
        <v>1371</v>
      </c>
      <c r="C36" s="17" t="s">
        <v>353</v>
      </c>
      <c r="D36" s="17" t="s">
        <v>354</v>
      </c>
      <c r="E36" s="17" t="s">
        <v>1577</v>
      </c>
      <c r="F36" s="17" t="s">
        <v>1578</v>
      </c>
      <c r="G36" s="17" t="s">
        <v>1579</v>
      </c>
      <c r="H36" s="17" t="s">
        <v>308</v>
      </c>
      <c r="I36" s="17" t="s">
        <v>1580</v>
      </c>
      <c r="J36" s="17" t="s">
        <v>1581</v>
      </c>
      <c r="K36" s="17" t="s">
        <v>108</v>
      </c>
      <c r="L36" s="23" t="s">
        <v>59</v>
      </c>
      <c r="M36" s="17"/>
    </row>
    <row r="37" customFormat="false" ht="78" hidden="false" customHeight="true" outlineLevel="0" collapsed="false">
      <c r="A37" s="18" t="s">
        <v>1582</v>
      </c>
      <c r="B37" s="23" t="s">
        <v>1371</v>
      </c>
      <c r="C37" s="19" t="s">
        <v>353</v>
      </c>
      <c r="D37" s="19" t="s">
        <v>354</v>
      </c>
      <c r="E37" s="19" t="s">
        <v>1583</v>
      </c>
      <c r="F37" s="19" t="s">
        <v>1584</v>
      </c>
      <c r="G37" s="19" t="s">
        <v>1585</v>
      </c>
      <c r="H37" s="19" t="s">
        <v>1586</v>
      </c>
      <c r="I37" s="19" t="s">
        <v>1587</v>
      </c>
      <c r="J37" s="19" t="s">
        <v>1588</v>
      </c>
      <c r="K37" s="19" t="s">
        <v>108</v>
      </c>
      <c r="L37" s="23" t="s">
        <v>59</v>
      </c>
      <c r="M37" s="19"/>
    </row>
    <row r="38" customFormat="false" ht="78" hidden="false" customHeight="true" outlineLevel="0" collapsed="false">
      <c r="A38" s="15" t="s">
        <v>1589</v>
      </c>
      <c r="B38" s="23" t="s">
        <v>1371</v>
      </c>
      <c r="C38" s="17" t="s">
        <v>353</v>
      </c>
      <c r="D38" s="17" t="s">
        <v>354</v>
      </c>
      <c r="E38" s="17" t="s">
        <v>1590</v>
      </c>
      <c r="F38" s="17" t="s">
        <v>1591</v>
      </c>
      <c r="G38" s="17" t="s">
        <v>1522</v>
      </c>
      <c r="H38" s="17" t="s">
        <v>1245</v>
      </c>
      <c r="I38" s="17" t="s">
        <v>1592</v>
      </c>
      <c r="J38" s="17" t="s">
        <v>1593</v>
      </c>
      <c r="K38" s="17" t="s">
        <v>1594</v>
      </c>
      <c r="L38" s="23" t="s">
        <v>59</v>
      </c>
      <c r="M38" s="17"/>
    </row>
    <row r="39" customFormat="false" ht="78" hidden="false" customHeight="true" outlineLevel="0" collapsed="false">
      <c r="A39" s="18" t="s">
        <v>1595</v>
      </c>
      <c r="B39" s="23" t="s">
        <v>1371</v>
      </c>
      <c r="C39" s="19" t="s">
        <v>283</v>
      </c>
      <c r="D39" s="19" t="s">
        <v>284</v>
      </c>
      <c r="E39" s="19" t="s">
        <v>1596</v>
      </c>
      <c r="F39" s="19" t="s">
        <v>1597</v>
      </c>
      <c r="G39" s="19" t="s">
        <v>843</v>
      </c>
      <c r="H39" s="19" t="s">
        <v>594</v>
      </c>
      <c r="I39" s="19" t="s">
        <v>1598</v>
      </c>
      <c r="J39" s="19" t="s">
        <v>1599</v>
      </c>
      <c r="K39" s="19" t="s">
        <v>108</v>
      </c>
      <c r="L39" s="23" t="s">
        <v>59</v>
      </c>
      <c r="M39" s="19"/>
    </row>
    <row r="40" customFormat="false" ht="78" hidden="false" customHeight="true" outlineLevel="0" collapsed="false">
      <c r="A40" s="15" t="s">
        <v>1600</v>
      </c>
      <c r="B40" s="23" t="s">
        <v>1371</v>
      </c>
      <c r="C40" s="17" t="s">
        <v>283</v>
      </c>
      <c r="D40" s="17" t="s">
        <v>284</v>
      </c>
      <c r="E40" s="17" t="s">
        <v>1601</v>
      </c>
      <c r="F40" s="17" t="s">
        <v>1602</v>
      </c>
      <c r="G40" s="17" t="s">
        <v>1603</v>
      </c>
      <c r="H40" s="17" t="s">
        <v>343</v>
      </c>
      <c r="I40" s="17" t="s">
        <v>1604</v>
      </c>
      <c r="J40" s="17" t="s">
        <v>1605</v>
      </c>
      <c r="K40" s="17" t="s">
        <v>108</v>
      </c>
      <c r="L40" s="23" t="s">
        <v>59</v>
      </c>
      <c r="M40" s="17"/>
    </row>
    <row r="41" customFormat="false" ht="78" hidden="false" customHeight="true" outlineLevel="0" collapsed="false">
      <c r="A41" s="18" t="s">
        <v>1606</v>
      </c>
      <c r="B41" s="23" t="s">
        <v>1371</v>
      </c>
      <c r="C41" s="19" t="s">
        <v>283</v>
      </c>
      <c r="D41" s="19" t="s">
        <v>284</v>
      </c>
      <c r="E41" s="19" t="s">
        <v>1607</v>
      </c>
      <c r="F41" s="19" t="s">
        <v>1608</v>
      </c>
      <c r="G41" s="19" t="s">
        <v>1408</v>
      </c>
      <c r="H41" s="19" t="s">
        <v>1409</v>
      </c>
      <c r="I41" s="19" t="s">
        <v>289</v>
      </c>
      <c r="J41" s="19" t="s">
        <v>1409</v>
      </c>
      <c r="K41" s="19" t="s">
        <v>1609</v>
      </c>
      <c r="L41" s="23" t="s">
        <v>59</v>
      </c>
      <c r="M41" s="19"/>
    </row>
    <row r="42" customFormat="false" ht="78" hidden="false" customHeight="true" outlineLevel="0" collapsed="false">
      <c r="A42" s="15" t="s">
        <v>1610</v>
      </c>
      <c r="B42" s="23" t="s">
        <v>1371</v>
      </c>
      <c r="C42" s="17" t="s">
        <v>283</v>
      </c>
      <c r="D42" s="17" t="s">
        <v>284</v>
      </c>
      <c r="E42" s="17" t="s">
        <v>1611</v>
      </c>
      <c r="F42" s="17" t="s">
        <v>1612</v>
      </c>
      <c r="G42" s="17" t="s">
        <v>1613</v>
      </c>
      <c r="H42" s="17" t="s">
        <v>1076</v>
      </c>
      <c r="I42" s="17" t="s">
        <v>859</v>
      </c>
      <c r="J42" s="17" t="s">
        <v>1614</v>
      </c>
      <c r="K42" s="17" t="s">
        <v>108</v>
      </c>
      <c r="L42" s="23" t="s">
        <v>59</v>
      </c>
      <c r="M42" s="17"/>
    </row>
    <row r="43" customFormat="false" ht="78" hidden="false" customHeight="true" outlineLevel="0" collapsed="false">
      <c r="A43" s="18" t="s">
        <v>1615</v>
      </c>
      <c r="B43" s="23" t="s">
        <v>1371</v>
      </c>
      <c r="C43" s="19" t="s">
        <v>159</v>
      </c>
      <c r="D43" s="19" t="s">
        <v>160</v>
      </c>
      <c r="E43" s="19" t="s">
        <v>1616</v>
      </c>
      <c r="F43" s="19" t="s">
        <v>1617</v>
      </c>
      <c r="G43" s="19" t="s">
        <v>890</v>
      </c>
      <c r="H43" s="19" t="s">
        <v>891</v>
      </c>
      <c r="I43" s="19" t="s">
        <v>1618</v>
      </c>
      <c r="J43" s="19" t="s">
        <v>893</v>
      </c>
      <c r="K43" s="19" t="s">
        <v>1619</v>
      </c>
      <c r="L43" s="23" t="s">
        <v>59</v>
      </c>
      <c r="M43" s="19"/>
    </row>
    <row r="44" customFormat="false" ht="78" hidden="false" customHeight="true" outlineLevel="0" collapsed="false">
      <c r="A44" s="15" t="s">
        <v>1620</v>
      </c>
      <c r="B44" s="23" t="s">
        <v>1371</v>
      </c>
      <c r="C44" s="17" t="s">
        <v>159</v>
      </c>
      <c r="D44" s="17" t="s">
        <v>160</v>
      </c>
      <c r="E44" s="17" t="s">
        <v>1621</v>
      </c>
      <c r="F44" s="17" t="s">
        <v>1622</v>
      </c>
      <c r="G44" s="17" t="s">
        <v>1623</v>
      </c>
      <c r="H44" s="17" t="s">
        <v>200</v>
      </c>
      <c r="I44" s="17" t="s">
        <v>1624</v>
      </c>
      <c r="J44" s="17" t="s">
        <v>1625</v>
      </c>
      <c r="K44" s="17" t="s">
        <v>108</v>
      </c>
      <c r="L44" s="23" t="s">
        <v>59</v>
      </c>
      <c r="M44" s="17"/>
    </row>
    <row r="45" customFormat="false" ht="78" hidden="false" customHeight="true" outlineLevel="0" collapsed="false">
      <c r="A45" s="18" t="s">
        <v>1626</v>
      </c>
      <c r="B45" s="23" t="s">
        <v>1371</v>
      </c>
      <c r="C45" s="19" t="s">
        <v>159</v>
      </c>
      <c r="D45" s="19" t="s">
        <v>160</v>
      </c>
      <c r="E45" s="19" t="s">
        <v>1627</v>
      </c>
      <c r="F45" s="19" t="s">
        <v>1628</v>
      </c>
      <c r="G45" s="19" t="s">
        <v>890</v>
      </c>
      <c r="H45" s="19" t="s">
        <v>185</v>
      </c>
      <c r="I45" s="19" t="s">
        <v>1629</v>
      </c>
      <c r="J45" s="19" t="s">
        <v>1630</v>
      </c>
      <c r="K45" s="19" t="s">
        <v>1631</v>
      </c>
      <c r="L45" s="23" t="s">
        <v>59</v>
      </c>
      <c r="M45" s="19"/>
    </row>
    <row r="46" customFormat="false" ht="78" hidden="false" customHeight="true" outlineLevel="0" collapsed="false">
      <c r="A46" s="15" t="s">
        <v>1632</v>
      </c>
      <c r="B46" s="23" t="s">
        <v>1371</v>
      </c>
      <c r="C46" s="17" t="s">
        <v>159</v>
      </c>
      <c r="D46" s="17" t="s">
        <v>160</v>
      </c>
      <c r="E46" s="17" t="s">
        <v>1633</v>
      </c>
      <c r="F46" s="17" t="s">
        <v>1634</v>
      </c>
      <c r="G46" s="17" t="s">
        <v>442</v>
      </c>
      <c r="H46" s="17" t="s">
        <v>767</v>
      </c>
      <c r="I46" s="17" t="s">
        <v>1635</v>
      </c>
      <c r="J46" s="17" t="s">
        <v>208</v>
      </c>
      <c r="K46" s="17" t="s">
        <v>108</v>
      </c>
      <c r="L46" s="23" t="s">
        <v>59</v>
      </c>
      <c r="M46" s="17"/>
    </row>
    <row r="47" customFormat="false" ht="78" hidden="false" customHeight="true" outlineLevel="0" collapsed="false">
      <c r="A47" s="18" t="s">
        <v>1636</v>
      </c>
      <c r="B47" s="23" t="s">
        <v>1371</v>
      </c>
      <c r="C47" s="19" t="s">
        <v>473</v>
      </c>
      <c r="D47" s="19" t="s">
        <v>474</v>
      </c>
      <c r="E47" s="19" t="s">
        <v>1637</v>
      </c>
      <c r="F47" s="19" t="s">
        <v>1638</v>
      </c>
      <c r="G47" s="19" t="s">
        <v>1639</v>
      </c>
      <c r="H47" s="19" t="s">
        <v>1640</v>
      </c>
      <c r="I47" s="19" t="s">
        <v>1641</v>
      </c>
      <c r="J47" s="19" t="s">
        <v>1642</v>
      </c>
      <c r="K47" s="19" t="s">
        <v>108</v>
      </c>
      <c r="L47" s="23" t="s">
        <v>59</v>
      </c>
      <c r="M47" s="19"/>
    </row>
    <row r="48" customFormat="false" ht="78" hidden="false" customHeight="true" outlineLevel="0" collapsed="false">
      <c r="A48" s="15" t="s">
        <v>1643</v>
      </c>
      <c r="B48" s="23" t="s">
        <v>1371</v>
      </c>
      <c r="C48" s="17" t="s">
        <v>473</v>
      </c>
      <c r="D48" s="17" t="s">
        <v>474</v>
      </c>
      <c r="E48" s="17" t="s">
        <v>1644</v>
      </c>
      <c r="F48" s="17" t="s">
        <v>1645</v>
      </c>
      <c r="G48" s="17" t="s">
        <v>1646</v>
      </c>
      <c r="H48" s="17" t="s">
        <v>1647</v>
      </c>
      <c r="I48" s="17" t="s">
        <v>1648</v>
      </c>
      <c r="J48" s="17" t="s">
        <v>1649</v>
      </c>
      <c r="K48" s="17" t="s">
        <v>108</v>
      </c>
      <c r="L48" s="23" t="s">
        <v>59</v>
      </c>
      <c r="M48" s="17"/>
    </row>
    <row r="49" customFormat="false" ht="78" hidden="false" customHeight="true" outlineLevel="0" collapsed="false">
      <c r="A49" s="18" t="s">
        <v>1650</v>
      </c>
      <c r="B49" s="23" t="s">
        <v>1371</v>
      </c>
      <c r="C49" s="19" t="s">
        <v>473</v>
      </c>
      <c r="D49" s="19" t="s">
        <v>474</v>
      </c>
      <c r="E49" s="19" t="s">
        <v>1651</v>
      </c>
      <c r="F49" s="19" t="s">
        <v>1652</v>
      </c>
      <c r="G49" s="19" t="s">
        <v>745</v>
      </c>
      <c r="H49" s="19" t="s">
        <v>1653</v>
      </c>
      <c r="I49" s="19" t="s">
        <v>1654</v>
      </c>
      <c r="J49" s="19" t="s">
        <v>1655</v>
      </c>
      <c r="K49" s="19" t="s">
        <v>108</v>
      </c>
      <c r="L49" s="23" t="s">
        <v>59</v>
      </c>
      <c r="M49" s="19"/>
    </row>
    <row r="50" customFormat="false" ht="78" hidden="false" customHeight="true" outlineLevel="0" collapsed="false">
      <c r="A50" s="15" t="s">
        <v>1656</v>
      </c>
      <c r="B50" s="23" t="s">
        <v>1371</v>
      </c>
      <c r="C50" s="17" t="s">
        <v>473</v>
      </c>
      <c r="D50" s="17" t="s">
        <v>474</v>
      </c>
      <c r="E50" s="17" t="s">
        <v>1657</v>
      </c>
      <c r="F50" s="17" t="s">
        <v>1658</v>
      </c>
      <c r="G50" s="17" t="s">
        <v>1659</v>
      </c>
      <c r="H50" s="17" t="s">
        <v>1660</v>
      </c>
      <c r="I50" s="17" t="s">
        <v>1661</v>
      </c>
      <c r="J50" s="17" t="s">
        <v>1662</v>
      </c>
      <c r="K50" s="17" t="s">
        <v>67</v>
      </c>
      <c r="L50" s="23" t="s">
        <v>59</v>
      </c>
      <c r="M50" s="17"/>
    </row>
    <row r="51" customFormat="false" ht="78" hidden="false" customHeight="true" outlineLevel="0" collapsed="false">
      <c r="A51" s="18" t="s">
        <v>1663</v>
      </c>
      <c r="B51" s="23" t="s">
        <v>1371</v>
      </c>
      <c r="C51" s="19" t="s">
        <v>473</v>
      </c>
      <c r="D51" s="19" t="s">
        <v>474</v>
      </c>
      <c r="E51" s="19" t="s">
        <v>1664</v>
      </c>
      <c r="F51" s="19" t="s">
        <v>1665</v>
      </c>
      <c r="G51" s="19" t="s">
        <v>1666</v>
      </c>
      <c r="H51" s="19" t="s">
        <v>872</v>
      </c>
      <c r="I51" s="19" t="s">
        <v>1667</v>
      </c>
      <c r="J51" s="19" t="s">
        <v>1668</v>
      </c>
      <c r="K51" s="19" t="s">
        <v>108</v>
      </c>
      <c r="L51" s="23" t="s">
        <v>59</v>
      </c>
      <c r="M51" s="19"/>
    </row>
    <row r="52" customFormat="false" ht="78" hidden="false" customHeight="true" outlineLevel="0" collapsed="false">
      <c r="A52" s="15" t="s">
        <v>1669</v>
      </c>
      <c r="B52" s="23" t="s">
        <v>1371</v>
      </c>
      <c r="C52" s="17" t="s">
        <v>473</v>
      </c>
      <c r="D52" s="17" t="s">
        <v>474</v>
      </c>
      <c r="E52" s="17" t="s">
        <v>1670</v>
      </c>
      <c r="F52" s="17" t="s">
        <v>1671</v>
      </c>
      <c r="G52" s="17" t="s">
        <v>1457</v>
      </c>
      <c r="H52" s="17" t="s">
        <v>485</v>
      </c>
      <c r="I52" s="17" t="s">
        <v>1672</v>
      </c>
      <c r="J52" s="17" t="s">
        <v>1673</v>
      </c>
      <c r="K52" s="17" t="s">
        <v>108</v>
      </c>
      <c r="L52" s="23" t="s">
        <v>59</v>
      </c>
      <c r="M52" s="17"/>
    </row>
    <row r="53" customFormat="false" ht="78" hidden="false" customHeight="true" outlineLevel="0" collapsed="false">
      <c r="A53" s="18" t="s">
        <v>1674</v>
      </c>
      <c r="B53" s="23" t="s">
        <v>1371</v>
      </c>
      <c r="C53" s="19" t="s">
        <v>473</v>
      </c>
      <c r="D53" s="19" t="s">
        <v>474</v>
      </c>
      <c r="E53" s="19" t="s">
        <v>1675</v>
      </c>
      <c r="F53" s="19" t="s">
        <v>1676</v>
      </c>
      <c r="G53" s="19" t="s">
        <v>1291</v>
      </c>
      <c r="H53" s="19" t="s">
        <v>1677</v>
      </c>
      <c r="I53" s="19" t="s">
        <v>1678</v>
      </c>
      <c r="J53" s="19" t="s">
        <v>1679</v>
      </c>
      <c r="K53" s="19" t="s">
        <v>108</v>
      </c>
      <c r="L53" s="23" t="s">
        <v>59</v>
      </c>
      <c r="M53" s="19"/>
    </row>
    <row r="54" customFormat="false" ht="78" hidden="false" customHeight="true" outlineLevel="0" collapsed="false">
      <c r="A54" s="15" t="s">
        <v>1680</v>
      </c>
      <c r="B54" s="23" t="s">
        <v>1371</v>
      </c>
      <c r="C54" s="17" t="s">
        <v>473</v>
      </c>
      <c r="D54" s="17" t="s">
        <v>474</v>
      </c>
      <c r="E54" s="17" t="s">
        <v>1681</v>
      </c>
      <c r="F54" s="17" t="s">
        <v>1682</v>
      </c>
      <c r="G54" s="17" t="s">
        <v>1613</v>
      </c>
      <c r="H54" s="17" t="s">
        <v>1077</v>
      </c>
      <c r="I54" s="17" t="s">
        <v>1683</v>
      </c>
      <c r="J54" s="17" t="s">
        <v>1614</v>
      </c>
      <c r="K54" s="17" t="s">
        <v>108</v>
      </c>
      <c r="L54" s="23" t="s">
        <v>59</v>
      </c>
      <c r="M54" s="17"/>
    </row>
    <row r="55" customFormat="false" ht="78" hidden="false" customHeight="true" outlineLevel="0" collapsed="false">
      <c r="A55" s="18" t="s">
        <v>1684</v>
      </c>
      <c r="B55" s="23" t="s">
        <v>1371</v>
      </c>
      <c r="C55" s="19" t="s">
        <v>519</v>
      </c>
      <c r="D55" s="19" t="s">
        <v>520</v>
      </c>
      <c r="E55" s="19" t="s">
        <v>1685</v>
      </c>
      <c r="F55" s="19" t="s">
        <v>1686</v>
      </c>
      <c r="G55" s="19" t="s">
        <v>1687</v>
      </c>
      <c r="H55" s="19" t="s">
        <v>1688</v>
      </c>
      <c r="I55" s="19" t="s">
        <v>1689</v>
      </c>
      <c r="J55" s="19" t="s">
        <v>1690</v>
      </c>
      <c r="K55" s="19" t="s">
        <v>108</v>
      </c>
      <c r="L55" s="23" t="s">
        <v>59</v>
      </c>
      <c r="M55" s="19"/>
    </row>
    <row r="56" customFormat="false" ht="78" hidden="false" customHeight="true" outlineLevel="0" collapsed="false">
      <c r="A56" s="15" t="s">
        <v>1691</v>
      </c>
      <c r="B56" s="23" t="s">
        <v>1371</v>
      </c>
      <c r="C56" s="17" t="s">
        <v>519</v>
      </c>
      <c r="D56" s="17" t="s">
        <v>520</v>
      </c>
      <c r="E56" s="17" t="s">
        <v>1692</v>
      </c>
      <c r="F56" s="17" t="s">
        <v>1693</v>
      </c>
      <c r="G56" s="17" t="s">
        <v>1694</v>
      </c>
      <c r="H56" s="17" t="s">
        <v>604</v>
      </c>
      <c r="I56" s="17" t="s">
        <v>1695</v>
      </c>
      <c r="J56" s="17" t="s">
        <v>1696</v>
      </c>
      <c r="K56" s="17" t="s">
        <v>108</v>
      </c>
      <c r="L56" s="23" t="s">
        <v>59</v>
      </c>
      <c r="M56" s="17"/>
    </row>
    <row r="57" customFormat="false" ht="78" hidden="false" customHeight="true" outlineLevel="0" collapsed="false">
      <c r="A57" s="18" t="s">
        <v>1697</v>
      </c>
      <c r="B57" s="23" t="s">
        <v>1371</v>
      </c>
      <c r="C57" s="19" t="s">
        <v>519</v>
      </c>
      <c r="D57" s="19" t="s">
        <v>520</v>
      </c>
      <c r="E57" s="19" t="s">
        <v>1698</v>
      </c>
      <c r="F57" s="19" t="s">
        <v>1699</v>
      </c>
      <c r="G57" s="19" t="s">
        <v>1700</v>
      </c>
      <c r="H57" s="19" t="s">
        <v>1701</v>
      </c>
      <c r="I57" s="19" t="s">
        <v>1702</v>
      </c>
      <c r="J57" s="19" t="s">
        <v>1700</v>
      </c>
      <c r="K57" s="19" t="s">
        <v>108</v>
      </c>
      <c r="L57" s="23" t="s">
        <v>59</v>
      </c>
      <c r="M57" s="19"/>
    </row>
    <row r="58" customFormat="false" ht="78" hidden="false" customHeight="true" outlineLevel="0" collapsed="false">
      <c r="A58" s="15" t="s">
        <v>1703</v>
      </c>
      <c r="B58" s="23" t="s">
        <v>1371</v>
      </c>
      <c r="C58" s="17" t="s">
        <v>519</v>
      </c>
      <c r="D58" s="17" t="s">
        <v>520</v>
      </c>
      <c r="E58" s="17" t="s">
        <v>1704</v>
      </c>
      <c r="F58" s="17" t="s">
        <v>1705</v>
      </c>
      <c r="G58" s="17" t="s">
        <v>1706</v>
      </c>
      <c r="H58" s="17" t="s">
        <v>1707</v>
      </c>
      <c r="I58" s="17" t="s">
        <v>1708</v>
      </c>
      <c r="J58" s="17" t="s">
        <v>1709</v>
      </c>
      <c r="K58" s="17" t="s">
        <v>108</v>
      </c>
      <c r="L58" s="23" t="s">
        <v>59</v>
      </c>
      <c r="M58" s="17"/>
    </row>
    <row r="59" customFormat="false" ht="78" hidden="false" customHeight="true" outlineLevel="0" collapsed="false">
      <c r="A59" s="18" t="s">
        <v>1710</v>
      </c>
      <c r="B59" s="23" t="s">
        <v>1371</v>
      </c>
      <c r="C59" s="19" t="s">
        <v>519</v>
      </c>
      <c r="D59" s="19" t="s">
        <v>520</v>
      </c>
      <c r="E59" s="19" t="s">
        <v>1711</v>
      </c>
      <c r="F59" s="19" t="s">
        <v>1712</v>
      </c>
      <c r="G59" s="19" t="s">
        <v>1185</v>
      </c>
      <c r="H59" s="19" t="s">
        <v>1245</v>
      </c>
      <c r="I59" s="19" t="s">
        <v>1592</v>
      </c>
      <c r="J59" s="19" t="s">
        <v>1713</v>
      </c>
      <c r="K59" s="19" t="s">
        <v>1714</v>
      </c>
      <c r="L59" s="23" t="s">
        <v>59</v>
      </c>
      <c r="M59" s="19"/>
    </row>
    <row r="60" customFormat="false" ht="78" hidden="false" customHeight="true" outlineLevel="0" collapsed="false">
      <c r="A60" s="15" t="s">
        <v>1715</v>
      </c>
      <c r="B60" s="23" t="s">
        <v>1371</v>
      </c>
      <c r="C60" s="17" t="s">
        <v>519</v>
      </c>
      <c r="D60" s="17" t="s">
        <v>520</v>
      </c>
      <c r="E60" s="17" t="s">
        <v>1716</v>
      </c>
      <c r="F60" s="17" t="s">
        <v>1717</v>
      </c>
      <c r="G60" s="17" t="s">
        <v>1718</v>
      </c>
      <c r="H60" s="17" t="s">
        <v>981</v>
      </c>
      <c r="I60" s="17" t="s">
        <v>1719</v>
      </c>
      <c r="J60" s="17" t="s">
        <v>1720</v>
      </c>
      <c r="K60" s="17" t="s">
        <v>108</v>
      </c>
      <c r="L60" s="23" t="s">
        <v>59</v>
      </c>
      <c r="M60" s="17"/>
    </row>
    <row r="61" customFormat="false" ht="78" hidden="false" customHeight="true" outlineLevel="0" collapsed="false">
      <c r="A61" s="18" t="s">
        <v>1721</v>
      </c>
      <c r="B61" s="23" t="s">
        <v>1371</v>
      </c>
      <c r="C61" s="19" t="s">
        <v>519</v>
      </c>
      <c r="D61" s="19" t="s">
        <v>520</v>
      </c>
      <c r="E61" s="19" t="s">
        <v>1722</v>
      </c>
      <c r="F61" s="19" t="s">
        <v>1723</v>
      </c>
      <c r="G61" s="19" t="s">
        <v>1724</v>
      </c>
      <c r="H61" s="19" t="s">
        <v>1725</v>
      </c>
      <c r="I61" s="19" t="s">
        <v>1726</v>
      </c>
      <c r="J61" s="19" t="s">
        <v>136</v>
      </c>
      <c r="K61" s="19" t="s">
        <v>108</v>
      </c>
      <c r="L61" s="23" t="s">
        <v>59</v>
      </c>
      <c r="M61" s="19"/>
    </row>
    <row r="62" customFormat="false" ht="78" hidden="false" customHeight="true" outlineLevel="0" collapsed="false">
      <c r="A62" s="15" t="s">
        <v>1727</v>
      </c>
      <c r="B62" s="23" t="s">
        <v>1371</v>
      </c>
      <c r="C62" s="17" t="s">
        <v>519</v>
      </c>
      <c r="D62" s="17" t="s">
        <v>520</v>
      </c>
      <c r="E62" s="17" t="s">
        <v>1728</v>
      </c>
      <c r="F62" s="17" t="s">
        <v>1729</v>
      </c>
      <c r="G62" s="17" t="s">
        <v>1730</v>
      </c>
      <c r="H62" s="17" t="s">
        <v>1731</v>
      </c>
      <c r="I62" s="17" t="s">
        <v>1732</v>
      </c>
      <c r="J62" s="17" t="s">
        <v>1733</v>
      </c>
      <c r="K62" s="17" t="s">
        <v>108</v>
      </c>
      <c r="L62" s="23" t="s">
        <v>59</v>
      </c>
      <c r="M62" s="17"/>
    </row>
    <row r="63" customFormat="false" ht="78" hidden="false" customHeight="true" outlineLevel="0" collapsed="false">
      <c r="A63" s="18" t="s">
        <v>1734</v>
      </c>
      <c r="B63" s="23" t="s">
        <v>1371</v>
      </c>
      <c r="C63" s="19" t="s">
        <v>567</v>
      </c>
      <c r="D63" s="19" t="s">
        <v>568</v>
      </c>
      <c r="E63" s="19" t="s">
        <v>1735</v>
      </c>
      <c r="F63" s="19" t="s">
        <v>1736</v>
      </c>
      <c r="G63" s="19" t="s">
        <v>1737</v>
      </c>
      <c r="H63" s="19" t="s">
        <v>1738</v>
      </c>
      <c r="I63" s="19" t="s">
        <v>853</v>
      </c>
      <c r="J63" s="19" t="s">
        <v>1739</v>
      </c>
      <c r="K63" s="19" t="s">
        <v>108</v>
      </c>
      <c r="L63" s="23" t="s">
        <v>59</v>
      </c>
      <c r="M63" s="19"/>
    </row>
    <row r="64" customFormat="false" ht="78" hidden="false" customHeight="true" outlineLevel="0" collapsed="false">
      <c r="A64" s="15" t="s">
        <v>1740</v>
      </c>
      <c r="B64" s="23" t="s">
        <v>1371</v>
      </c>
      <c r="C64" s="17" t="s">
        <v>567</v>
      </c>
      <c r="D64" s="17" t="s">
        <v>568</v>
      </c>
      <c r="E64" s="17" t="s">
        <v>1741</v>
      </c>
      <c r="F64" s="17" t="s">
        <v>1742</v>
      </c>
      <c r="G64" s="17" t="s">
        <v>1743</v>
      </c>
      <c r="H64" s="17" t="s">
        <v>1139</v>
      </c>
      <c r="I64" s="17" t="s">
        <v>1744</v>
      </c>
      <c r="J64" s="17" t="s">
        <v>1745</v>
      </c>
      <c r="K64" s="17" t="s">
        <v>1746</v>
      </c>
      <c r="L64" s="23" t="s">
        <v>59</v>
      </c>
      <c r="M64" s="17"/>
    </row>
    <row r="65" customFormat="false" ht="78" hidden="false" customHeight="true" outlineLevel="0" collapsed="false">
      <c r="A65" s="18" t="s">
        <v>1747</v>
      </c>
      <c r="B65" s="23" t="s">
        <v>1371</v>
      </c>
      <c r="C65" s="19" t="s">
        <v>567</v>
      </c>
      <c r="D65" s="19" t="s">
        <v>568</v>
      </c>
      <c r="E65" s="19" t="s">
        <v>1748</v>
      </c>
      <c r="F65" s="19" t="s">
        <v>1749</v>
      </c>
      <c r="G65" s="19" t="s">
        <v>1750</v>
      </c>
      <c r="H65" s="19" t="s">
        <v>1751</v>
      </c>
      <c r="I65" s="19" t="s">
        <v>1752</v>
      </c>
      <c r="J65" s="19" t="s">
        <v>1753</v>
      </c>
      <c r="K65" s="19" t="s">
        <v>108</v>
      </c>
      <c r="L65" s="23" t="s">
        <v>59</v>
      </c>
      <c r="M65" s="19"/>
    </row>
    <row r="66" customFormat="false" ht="78" hidden="false" customHeight="true" outlineLevel="0" collapsed="false">
      <c r="A66" s="15" t="s">
        <v>1754</v>
      </c>
      <c r="B66" s="23" t="s">
        <v>1371</v>
      </c>
      <c r="C66" s="17" t="s">
        <v>567</v>
      </c>
      <c r="D66" s="17" t="s">
        <v>568</v>
      </c>
      <c r="E66" s="17" t="s">
        <v>1755</v>
      </c>
      <c r="F66" s="17" t="s">
        <v>1756</v>
      </c>
      <c r="G66" s="17" t="s">
        <v>1757</v>
      </c>
      <c r="H66" s="17" t="s">
        <v>1758</v>
      </c>
      <c r="I66" s="17" t="s">
        <v>1759</v>
      </c>
      <c r="J66" s="17" t="s">
        <v>1757</v>
      </c>
      <c r="K66" s="17" t="s">
        <v>108</v>
      </c>
      <c r="L66" s="23" t="s">
        <v>59</v>
      </c>
      <c r="M66" s="17"/>
    </row>
    <row r="67" customFormat="false" ht="78" hidden="false" customHeight="true" outlineLevel="0" collapsed="false">
      <c r="A67" s="18" t="s">
        <v>1760</v>
      </c>
      <c r="B67" s="23" t="s">
        <v>1371</v>
      </c>
      <c r="C67" s="19" t="s">
        <v>567</v>
      </c>
      <c r="D67" s="19" t="s">
        <v>568</v>
      </c>
      <c r="E67" s="19" t="s">
        <v>1761</v>
      </c>
      <c r="F67" s="19" t="s">
        <v>1762</v>
      </c>
      <c r="G67" s="19" t="s">
        <v>1763</v>
      </c>
      <c r="H67" s="19" t="s">
        <v>1764</v>
      </c>
      <c r="I67" s="19" t="s">
        <v>1765</v>
      </c>
      <c r="J67" s="19" t="s">
        <v>1766</v>
      </c>
      <c r="K67" s="19" t="s">
        <v>108</v>
      </c>
      <c r="L67" s="23" t="s">
        <v>59</v>
      </c>
      <c r="M67" s="19"/>
    </row>
    <row r="68" customFormat="false" ht="78" hidden="false" customHeight="true" outlineLevel="0" collapsed="false">
      <c r="A68" s="15" t="s">
        <v>1767</v>
      </c>
      <c r="B68" s="23" t="s">
        <v>1371</v>
      </c>
      <c r="C68" s="17" t="s">
        <v>567</v>
      </c>
      <c r="D68" s="17" t="s">
        <v>568</v>
      </c>
      <c r="E68" s="17" t="s">
        <v>1768</v>
      </c>
      <c r="F68" s="17" t="s">
        <v>1769</v>
      </c>
      <c r="G68" s="17" t="s">
        <v>1770</v>
      </c>
      <c r="H68" s="17" t="s">
        <v>1771</v>
      </c>
      <c r="I68" s="17" t="s">
        <v>1772</v>
      </c>
      <c r="J68" s="17" t="s">
        <v>1773</v>
      </c>
      <c r="K68" s="17" t="s">
        <v>108</v>
      </c>
      <c r="L68" s="23" t="s">
        <v>59</v>
      </c>
      <c r="M68" s="17"/>
    </row>
    <row r="69" customFormat="false" ht="78" hidden="false" customHeight="true" outlineLevel="0" collapsed="false">
      <c r="A69" s="18" t="s">
        <v>1774</v>
      </c>
      <c r="B69" s="23" t="s">
        <v>1371</v>
      </c>
      <c r="C69" s="19" t="s">
        <v>567</v>
      </c>
      <c r="D69" s="19" t="s">
        <v>568</v>
      </c>
      <c r="E69" s="19" t="s">
        <v>1775</v>
      </c>
      <c r="F69" s="19" t="s">
        <v>1776</v>
      </c>
      <c r="G69" s="19" t="s">
        <v>1777</v>
      </c>
      <c r="H69" s="19" t="s">
        <v>1777</v>
      </c>
      <c r="I69" s="19" t="s">
        <v>1138</v>
      </c>
      <c r="J69" s="19" t="s">
        <v>1778</v>
      </c>
      <c r="K69" s="19" t="s">
        <v>108</v>
      </c>
      <c r="L69" s="23" t="s">
        <v>59</v>
      </c>
      <c r="M69" s="19"/>
    </row>
    <row r="70" customFormat="false" ht="78" hidden="false" customHeight="true" outlineLevel="0" collapsed="false">
      <c r="A70" s="15" t="s">
        <v>1779</v>
      </c>
      <c r="B70" s="23" t="s">
        <v>1371</v>
      </c>
      <c r="C70" s="17" t="s">
        <v>567</v>
      </c>
      <c r="D70" s="17" t="s">
        <v>568</v>
      </c>
      <c r="E70" s="17" t="s">
        <v>1780</v>
      </c>
      <c r="F70" s="17" t="s">
        <v>1781</v>
      </c>
      <c r="G70" s="17" t="s">
        <v>1185</v>
      </c>
      <c r="H70" s="17" t="s">
        <v>1245</v>
      </c>
      <c r="I70" s="17" t="s">
        <v>1592</v>
      </c>
      <c r="J70" s="17" t="s">
        <v>1782</v>
      </c>
      <c r="K70" s="17" t="s">
        <v>1783</v>
      </c>
      <c r="L70" s="23" t="s">
        <v>59</v>
      </c>
      <c r="M70" s="17"/>
    </row>
    <row r="71" customFormat="false" ht="78" hidden="false" customHeight="true" outlineLevel="0" collapsed="false">
      <c r="A71" s="18" t="s">
        <v>1784</v>
      </c>
      <c r="B71" s="23" t="s">
        <v>1371</v>
      </c>
      <c r="C71" s="19" t="s">
        <v>613</v>
      </c>
      <c r="D71" s="19" t="s">
        <v>614</v>
      </c>
      <c r="E71" s="19" t="s">
        <v>1785</v>
      </c>
      <c r="F71" s="19" t="s">
        <v>1786</v>
      </c>
      <c r="G71" s="19" t="s">
        <v>1787</v>
      </c>
      <c r="H71" s="19" t="s">
        <v>1199</v>
      </c>
      <c r="I71" s="19" t="s">
        <v>619</v>
      </c>
      <c r="J71" s="19" t="s">
        <v>1788</v>
      </c>
      <c r="K71" s="19" t="s">
        <v>1194</v>
      </c>
      <c r="L71" s="23" t="s">
        <v>59</v>
      </c>
      <c r="M71" s="19"/>
    </row>
    <row r="72" customFormat="false" ht="78" hidden="false" customHeight="true" outlineLevel="0" collapsed="false">
      <c r="A72" s="15" t="s">
        <v>1789</v>
      </c>
      <c r="B72" s="23" t="s">
        <v>1371</v>
      </c>
      <c r="C72" s="17" t="s">
        <v>613</v>
      </c>
      <c r="D72" s="17" t="s">
        <v>614</v>
      </c>
      <c r="E72" s="17" t="s">
        <v>1790</v>
      </c>
      <c r="F72" s="17" t="s">
        <v>1791</v>
      </c>
      <c r="G72" s="17" t="s">
        <v>1792</v>
      </c>
      <c r="H72" s="17" t="s">
        <v>1793</v>
      </c>
      <c r="I72" s="17" t="s">
        <v>1794</v>
      </c>
      <c r="J72" s="17" t="s">
        <v>1795</v>
      </c>
      <c r="K72" s="17" t="s">
        <v>108</v>
      </c>
      <c r="L72" s="23" t="s">
        <v>59</v>
      </c>
      <c r="M72" s="17"/>
    </row>
    <row r="73" customFormat="false" ht="78" hidden="false" customHeight="true" outlineLevel="0" collapsed="false">
      <c r="A73" s="18" t="s">
        <v>1796</v>
      </c>
      <c r="B73" s="23" t="s">
        <v>1371</v>
      </c>
      <c r="C73" s="19" t="s">
        <v>613</v>
      </c>
      <c r="D73" s="19" t="s">
        <v>614</v>
      </c>
      <c r="E73" s="19" t="s">
        <v>1797</v>
      </c>
      <c r="F73" s="19" t="s">
        <v>1798</v>
      </c>
      <c r="G73" s="19" t="s">
        <v>1799</v>
      </c>
      <c r="H73" s="19" t="s">
        <v>1800</v>
      </c>
      <c r="I73" s="19" t="s">
        <v>1801</v>
      </c>
      <c r="J73" s="19" t="s">
        <v>1802</v>
      </c>
      <c r="K73" s="19" t="s">
        <v>108</v>
      </c>
      <c r="L73" s="23" t="s">
        <v>59</v>
      </c>
      <c r="M73" s="19"/>
    </row>
    <row r="74" customFormat="false" ht="78" hidden="false" customHeight="true" outlineLevel="0" collapsed="false">
      <c r="A74" s="15" t="s">
        <v>1803</v>
      </c>
      <c r="B74" s="23" t="s">
        <v>1371</v>
      </c>
      <c r="C74" s="17" t="s">
        <v>613</v>
      </c>
      <c r="D74" s="17" t="s">
        <v>614</v>
      </c>
      <c r="E74" s="17" t="s">
        <v>1804</v>
      </c>
      <c r="F74" s="17" t="s">
        <v>1805</v>
      </c>
      <c r="G74" s="17" t="s">
        <v>317</v>
      </c>
      <c r="H74" s="17" t="s">
        <v>496</v>
      </c>
      <c r="I74" s="17" t="s">
        <v>1220</v>
      </c>
      <c r="J74" s="17" t="s">
        <v>1806</v>
      </c>
      <c r="K74" s="17" t="s">
        <v>108</v>
      </c>
      <c r="L74" s="23" t="s">
        <v>59</v>
      </c>
      <c r="M74" s="17"/>
    </row>
    <row r="75" customFormat="false" ht="78" hidden="false" customHeight="true" outlineLevel="0" collapsed="false">
      <c r="A75" s="18" t="s">
        <v>1807</v>
      </c>
      <c r="B75" s="23" t="s">
        <v>1371</v>
      </c>
      <c r="C75" s="19" t="s">
        <v>613</v>
      </c>
      <c r="D75" s="19" t="s">
        <v>614</v>
      </c>
      <c r="E75" s="19" t="s">
        <v>1808</v>
      </c>
      <c r="F75" s="19" t="s">
        <v>1809</v>
      </c>
      <c r="G75" s="19" t="s">
        <v>1810</v>
      </c>
      <c r="H75" s="19" t="s">
        <v>1811</v>
      </c>
      <c r="I75" s="19" t="s">
        <v>1812</v>
      </c>
      <c r="J75" s="19" t="s">
        <v>1813</v>
      </c>
      <c r="K75" s="19" t="s">
        <v>108</v>
      </c>
      <c r="L75" s="23" t="s">
        <v>59</v>
      </c>
      <c r="M75" s="19"/>
    </row>
    <row r="76" customFormat="false" ht="78" hidden="false" customHeight="true" outlineLevel="0" collapsed="false">
      <c r="A76" s="15" t="s">
        <v>1814</v>
      </c>
      <c r="B76" s="23" t="s">
        <v>1371</v>
      </c>
      <c r="C76" s="17" t="s">
        <v>613</v>
      </c>
      <c r="D76" s="17" t="s">
        <v>614</v>
      </c>
      <c r="E76" s="17" t="s">
        <v>1815</v>
      </c>
      <c r="F76" s="17" t="s">
        <v>1816</v>
      </c>
      <c r="G76" s="17" t="s">
        <v>1817</v>
      </c>
      <c r="H76" s="17" t="s">
        <v>1818</v>
      </c>
      <c r="I76" s="17" t="s">
        <v>1819</v>
      </c>
      <c r="J76" s="17" t="s">
        <v>1820</v>
      </c>
      <c r="K76" s="17" t="s">
        <v>108</v>
      </c>
      <c r="L76" s="23" t="s">
        <v>59</v>
      </c>
      <c r="M76" s="17"/>
    </row>
    <row r="77" customFormat="false" ht="78" hidden="false" customHeight="true" outlineLevel="0" collapsed="false">
      <c r="A77" s="18" t="s">
        <v>1821</v>
      </c>
      <c r="B77" s="23" t="s">
        <v>1371</v>
      </c>
      <c r="C77" s="19" t="s">
        <v>613</v>
      </c>
      <c r="D77" s="19" t="s">
        <v>614</v>
      </c>
      <c r="E77" s="19" t="s">
        <v>1822</v>
      </c>
      <c r="F77" s="19" t="s">
        <v>1823</v>
      </c>
      <c r="G77" s="19" t="s">
        <v>1824</v>
      </c>
      <c r="H77" s="19" t="s">
        <v>640</v>
      </c>
      <c r="I77" s="19" t="s">
        <v>641</v>
      </c>
      <c r="J77" s="19" t="s">
        <v>1825</v>
      </c>
      <c r="K77" s="19" t="s">
        <v>1826</v>
      </c>
      <c r="L77" s="23" t="s">
        <v>59</v>
      </c>
      <c r="M77" s="19"/>
    </row>
    <row r="78" customFormat="false" ht="78" hidden="false" customHeight="true" outlineLevel="0" collapsed="false">
      <c r="A78" s="15" t="s">
        <v>1827</v>
      </c>
      <c r="B78" s="23" t="s">
        <v>1371</v>
      </c>
      <c r="C78" s="17" t="s">
        <v>613</v>
      </c>
      <c r="D78" s="17" t="s">
        <v>614</v>
      </c>
      <c r="E78" s="17" t="s">
        <v>1828</v>
      </c>
      <c r="F78" s="17" t="s">
        <v>1829</v>
      </c>
      <c r="G78" s="17" t="s">
        <v>1830</v>
      </c>
      <c r="H78" s="17" t="s">
        <v>1367</v>
      </c>
      <c r="I78" s="17" t="s">
        <v>1831</v>
      </c>
      <c r="J78" s="17" t="s">
        <v>1070</v>
      </c>
      <c r="K78" s="17" t="s">
        <v>75</v>
      </c>
      <c r="L78" s="23" t="s">
        <v>59</v>
      </c>
      <c r="M78" s="17"/>
    </row>
    <row r="79" customFormat="false" ht="78" hidden="false" customHeight="true" outlineLevel="0" collapsed="false">
      <c r="A79" s="18" t="s">
        <v>1832</v>
      </c>
      <c r="B79" s="23" t="s">
        <v>1371</v>
      </c>
      <c r="C79" s="19" t="s">
        <v>613</v>
      </c>
      <c r="D79" s="19" t="s">
        <v>614</v>
      </c>
      <c r="E79" s="19" t="s">
        <v>1833</v>
      </c>
      <c r="F79" s="19" t="s">
        <v>1834</v>
      </c>
      <c r="G79" s="19" t="s">
        <v>1835</v>
      </c>
      <c r="H79" s="19" t="s">
        <v>1245</v>
      </c>
      <c r="I79" s="19" t="s">
        <v>1836</v>
      </c>
      <c r="J79" s="19" t="s">
        <v>1837</v>
      </c>
      <c r="K79" s="19" t="s">
        <v>1838</v>
      </c>
      <c r="L79" s="23" t="s">
        <v>59</v>
      </c>
      <c r="M79" s="19"/>
    </row>
    <row r="80" customFormat="false" ht="78" hidden="false" customHeight="true" outlineLevel="0" collapsed="false">
      <c r="A80" s="15" t="s">
        <v>1839</v>
      </c>
      <c r="B80" s="23" t="s">
        <v>1371</v>
      </c>
      <c r="C80" s="17" t="s">
        <v>613</v>
      </c>
      <c r="D80" s="17" t="s">
        <v>614</v>
      </c>
      <c r="E80" s="17" t="s">
        <v>1840</v>
      </c>
      <c r="F80" s="17" t="s">
        <v>1841</v>
      </c>
      <c r="G80" s="17" t="s">
        <v>1842</v>
      </c>
      <c r="H80" s="17" t="s">
        <v>1212</v>
      </c>
      <c r="I80" s="17" t="s">
        <v>188</v>
      </c>
      <c r="J80" s="17" t="s">
        <v>1843</v>
      </c>
      <c r="K80" s="17" t="s">
        <v>108</v>
      </c>
      <c r="L80" s="23" t="s">
        <v>59</v>
      </c>
      <c r="M80" s="17"/>
    </row>
    <row r="81" customFormat="false" ht="78" hidden="false" customHeight="true" outlineLevel="0" collapsed="false">
      <c r="A81" s="18" t="s">
        <v>1844</v>
      </c>
      <c r="B81" s="23" t="s">
        <v>1371</v>
      </c>
      <c r="C81" s="19" t="s">
        <v>664</v>
      </c>
      <c r="D81" s="19" t="s">
        <v>665</v>
      </c>
      <c r="E81" s="19" t="s">
        <v>1845</v>
      </c>
      <c r="F81" s="19" t="s">
        <v>1846</v>
      </c>
      <c r="G81" s="19" t="s">
        <v>1847</v>
      </c>
      <c r="H81" s="19" t="s">
        <v>731</v>
      </c>
      <c r="I81" s="19" t="s">
        <v>1848</v>
      </c>
      <c r="J81" s="19" t="s">
        <v>1849</v>
      </c>
      <c r="K81" s="19" t="s">
        <v>108</v>
      </c>
      <c r="L81" s="23" t="s">
        <v>59</v>
      </c>
      <c r="M81" s="19"/>
    </row>
    <row r="82" customFormat="false" ht="78" hidden="false" customHeight="true" outlineLevel="0" collapsed="false">
      <c r="A82" s="15" t="s">
        <v>1850</v>
      </c>
      <c r="B82" s="23" t="s">
        <v>1371</v>
      </c>
      <c r="C82" s="17" t="s">
        <v>664</v>
      </c>
      <c r="D82" s="17" t="s">
        <v>665</v>
      </c>
      <c r="E82" s="17" t="s">
        <v>1851</v>
      </c>
      <c r="F82" s="17" t="s">
        <v>1852</v>
      </c>
      <c r="G82" s="17" t="s">
        <v>495</v>
      </c>
      <c r="H82" s="17" t="s">
        <v>1853</v>
      </c>
      <c r="I82" s="17" t="s">
        <v>351</v>
      </c>
      <c r="J82" s="17" t="s">
        <v>668</v>
      </c>
      <c r="K82" s="17" t="s">
        <v>108</v>
      </c>
      <c r="L82" s="23" t="s">
        <v>59</v>
      </c>
      <c r="M82" s="17"/>
    </row>
    <row r="83" customFormat="false" ht="78" hidden="false" customHeight="true" outlineLevel="0" collapsed="false">
      <c r="A83" s="18" t="s">
        <v>1854</v>
      </c>
      <c r="B83" s="23" t="s">
        <v>1371</v>
      </c>
      <c r="C83" s="19" t="s">
        <v>664</v>
      </c>
      <c r="D83" s="19" t="s">
        <v>665</v>
      </c>
      <c r="E83" s="19" t="s">
        <v>1855</v>
      </c>
      <c r="F83" s="19" t="s">
        <v>1856</v>
      </c>
      <c r="G83" s="19" t="s">
        <v>1737</v>
      </c>
      <c r="H83" s="19" t="s">
        <v>1857</v>
      </c>
      <c r="I83" s="19" t="s">
        <v>1858</v>
      </c>
      <c r="J83" s="19" t="s">
        <v>1859</v>
      </c>
      <c r="K83" s="19" t="s">
        <v>108</v>
      </c>
      <c r="L83" s="23" t="s">
        <v>59</v>
      </c>
      <c r="M83" s="19"/>
    </row>
    <row r="84" customFormat="false" ht="78" hidden="false" customHeight="true" outlineLevel="0" collapsed="false">
      <c r="A84" s="15" t="s">
        <v>1860</v>
      </c>
      <c r="B84" s="23" t="s">
        <v>1371</v>
      </c>
      <c r="C84" s="17" t="s">
        <v>664</v>
      </c>
      <c r="D84" s="17" t="s">
        <v>665</v>
      </c>
      <c r="E84" s="17" t="s">
        <v>1861</v>
      </c>
      <c r="F84" s="17" t="s">
        <v>1862</v>
      </c>
      <c r="G84" s="17" t="s">
        <v>692</v>
      </c>
      <c r="H84" s="17" t="s">
        <v>1863</v>
      </c>
      <c r="I84" s="17" t="s">
        <v>1864</v>
      </c>
      <c r="J84" s="17" t="s">
        <v>558</v>
      </c>
      <c r="K84" s="17" t="s">
        <v>108</v>
      </c>
      <c r="L84" s="23" t="s">
        <v>59</v>
      </c>
      <c r="M84" s="17"/>
    </row>
    <row r="85" customFormat="false" ht="78" hidden="false" customHeight="true" outlineLevel="0" collapsed="false">
      <c r="A85" s="18" t="s">
        <v>1865</v>
      </c>
      <c r="B85" s="23" t="s">
        <v>1371</v>
      </c>
      <c r="C85" s="19" t="s">
        <v>664</v>
      </c>
      <c r="D85" s="19" t="s">
        <v>665</v>
      </c>
      <c r="E85" s="19" t="s">
        <v>1866</v>
      </c>
      <c r="F85" s="19" t="s">
        <v>1867</v>
      </c>
      <c r="G85" s="19" t="s">
        <v>1868</v>
      </c>
      <c r="H85" s="19" t="s">
        <v>692</v>
      </c>
      <c r="I85" s="19" t="s">
        <v>1869</v>
      </c>
      <c r="J85" s="19" t="s">
        <v>1868</v>
      </c>
      <c r="K85" s="19" t="s">
        <v>108</v>
      </c>
      <c r="L85" s="23" t="s">
        <v>59</v>
      </c>
      <c r="M85" s="19"/>
    </row>
    <row r="86" customFormat="false" ht="78" hidden="false" customHeight="true" outlineLevel="0" collapsed="false">
      <c r="A86" s="15" t="s">
        <v>1870</v>
      </c>
      <c r="B86" s="23" t="s">
        <v>1371</v>
      </c>
      <c r="C86" s="17" t="s">
        <v>664</v>
      </c>
      <c r="D86" s="17" t="s">
        <v>665</v>
      </c>
      <c r="E86" s="17" t="s">
        <v>1871</v>
      </c>
      <c r="F86" s="17" t="s">
        <v>1872</v>
      </c>
      <c r="G86" s="17" t="s">
        <v>974</v>
      </c>
      <c r="H86" s="17" t="s">
        <v>524</v>
      </c>
      <c r="I86" s="17" t="s">
        <v>1873</v>
      </c>
      <c r="J86" s="17" t="s">
        <v>1874</v>
      </c>
      <c r="K86" s="17" t="s">
        <v>108</v>
      </c>
      <c r="L86" s="23" t="s">
        <v>59</v>
      </c>
      <c r="M86" s="17"/>
    </row>
    <row r="87" customFormat="false" ht="78" hidden="false" customHeight="true" outlineLevel="0" collapsed="false">
      <c r="A87" s="18" t="s">
        <v>1875</v>
      </c>
      <c r="B87" s="23" t="s">
        <v>1371</v>
      </c>
      <c r="C87" s="19" t="s">
        <v>664</v>
      </c>
      <c r="D87" s="19" t="s">
        <v>665</v>
      </c>
      <c r="E87" s="19" t="s">
        <v>1876</v>
      </c>
      <c r="F87" s="19" t="s">
        <v>1877</v>
      </c>
      <c r="G87" s="19" t="s">
        <v>1185</v>
      </c>
      <c r="H87" s="19" t="s">
        <v>1245</v>
      </c>
      <c r="I87" s="19" t="s">
        <v>1592</v>
      </c>
      <c r="J87" s="19" t="s">
        <v>1878</v>
      </c>
      <c r="K87" s="19" t="s">
        <v>1879</v>
      </c>
      <c r="L87" s="23" t="s">
        <v>59</v>
      </c>
      <c r="M87" s="19"/>
    </row>
    <row r="88" customFormat="false" ht="78" hidden="false" customHeight="true" outlineLevel="0" collapsed="false">
      <c r="A88" s="15" t="s">
        <v>1880</v>
      </c>
      <c r="B88" s="23" t="s">
        <v>1371</v>
      </c>
      <c r="C88" s="17" t="s">
        <v>664</v>
      </c>
      <c r="D88" s="17" t="s">
        <v>665</v>
      </c>
      <c r="E88" s="17" t="s">
        <v>1881</v>
      </c>
      <c r="F88" s="17" t="s">
        <v>1882</v>
      </c>
      <c r="G88" s="17" t="s">
        <v>240</v>
      </c>
      <c r="H88" s="17" t="s">
        <v>179</v>
      </c>
      <c r="I88" s="17" t="s">
        <v>1883</v>
      </c>
      <c r="J88" s="17" t="s">
        <v>1884</v>
      </c>
      <c r="K88" s="17" t="s">
        <v>108</v>
      </c>
      <c r="L88" s="23" t="s">
        <v>59</v>
      </c>
      <c r="M88" s="17"/>
    </row>
    <row r="89" customFormat="false" ht="78" hidden="false" customHeight="true" outlineLevel="0" collapsed="false">
      <c r="A89" s="18" t="s">
        <v>1885</v>
      </c>
      <c r="B89" s="23" t="s">
        <v>1371</v>
      </c>
      <c r="C89" s="19" t="s">
        <v>709</v>
      </c>
      <c r="D89" s="19" t="s">
        <v>710</v>
      </c>
      <c r="E89" s="19" t="s">
        <v>1886</v>
      </c>
      <c r="F89" s="19" t="s">
        <v>1887</v>
      </c>
      <c r="G89" s="19" t="s">
        <v>1888</v>
      </c>
      <c r="H89" s="19" t="s">
        <v>1889</v>
      </c>
      <c r="I89" s="19" t="s">
        <v>675</v>
      </c>
      <c r="J89" s="19" t="s">
        <v>1890</v>
      </c>
      <c r="K89" s="19" t="s">
        <v>108</v>
      </c>
      <c r="L89" s="23" t="s">
        <v>59</v>
      </c>
      <c r="M89" s="19"/>
    </row>
    <row r="90" customFormat="false" ht="78" hidden="false" customHeight="true" outlineLevel="0" collapsed="false">
      <c r="A90" s="15" t="s">
        <v>1891</v>
      </c>
      <c r="B90" s="23" t="s">
        <v>1371</v>
      </c>
      <c r="C90" s="17" t="s">
        <v>709</v>
      </c>
      <c r="D90" s="17" t="s">
        <v>710</v>
      </c>
      <c r="E90" s="17" t="s">
        <v>1892</v>
      </c>
      <c r="F90" s="17" t="s">
        <v>1893</v>
      </c>
      <c r="G90" s="17" t="s">
        <v>195</v>
      </c>
      <c r="H90" s="17" t="s">
        <v>1318</v>
      </c>
      <c r="I90" s="17" t="s">
        <v>1894</v>
      </c>
      <c r="J90" s="17" t="s">
        <v>1895</v>
      </c>
      <c r="K90" s="17" t="s">
        <v>108</v>
      </c>
      <c r="L90" s="23" t="s">
        <v>59</v>
      </c>
      <c r="M90" s="17"/>
    </row>
    <row r="91" customFormat="false" ht="78" hidden="false" customHeight="true" outlineLevel="0" collapsed="false">
      <c r="A91" s="18" t="s">
        <v>1896</v>
      </c>
      <c r="B91" s="23" t="s">
        <v>1371</v>
      </c>
      <c r="C91" s="19" t="s">
        <v>709</v>
      </c>
      <c r="D91" s="19" t="s">
        <v>710</v>
      </c>
      <c r="E91" s="19" t="s">
        <v>1897</v>
      </c>
      <c r="F91" s="19" t="s">
        <v>1898</v>
      </c>
      <c r="G91" s="19" t="s">
        <v>1899</v>
      </c>
      <c r="H91" s="19" t="s">
        <v>1900</v>
      </c>
      <c r="I91" s="19" t="s">
        <v>1325</v>
      </c>
      <c r="J91" s="19" t="s">
        <v>843</v>
      </c>
      <c r="K91" s="19" t="s">
        <v>108</v>
      </c>
      <c r="L91" s="23" t="s">
        <v>59</v>
      </c>
      <c r="M91" s="19"/>
    </row>
    <row r="92" customFormat="false" ht="78" hidden="false" customHeight="true" outlineLevel="0" collapsed="false">
      <c r="A92" s="15" t="s">
        <v>1901</v>
      </c>
      <c r="B92" s="23" t="s">
        <v>1371</v>
      </c>
      <c r="C92" s="17" t="s">
        <v>709</v>
      </c>
      <c r="D92" s="17" t="s">
        <v>710</v>
      </c>
      <c r="E92" s="17" t="s">
        <v>1902</v>
      </c>
      <c r="F92" s="17" t="s">
        <v>1903</v>
      </c>
      <c r="G92" s="17" t="s">
        <v>1904</v>
      </c>
      <c r="H92" s="17" t="s">
        <v>732</v>
      </c>
      <c r="I92" s="17" t="s">
        <v>1905</v>
      </c>
      <c r="J92" s="17" t="s">
        <v>1906</v>
      </c>
      <c r="K92" s="17" t="s">
        <v>108</v>
      </c>
      <c r="L92" s="23" t="s">
        <v>59</v>
      </c>
      <c r="M92" s="17"/>
    </row>
    <row r="93" customFormat="false" ht="78" hidden="false" customHeight="true" outlineLevel="0" collapsed="false">
      <c r="A93" s="18" t="s">
        <v>1907</v>
      </c>
      <c r="B93" s="23" t="s">
        <v>1371</v>
      </c>
      <c r="C93" s="19" t="s">
        <v>709</v>
      </c>
      <c r="D93" s="19" t="s">
        <v>710</v>
      </c>
      <c r="E93" s="19" t="s">
        <v>1908</v>
      </c>
      <c r="F93" s="19" t="s">
        <v>1909</v>
      </c>
      <c r="G93" s="19" t="s">
        <v>1910</v>
      </c>
      <c r="H93" s="19" t="s">
        <v>1911</v>
      </c>
      <c r="I93" s="19" t="s">
        <v>804</v>
      </c>
      <c r="J93" s="19" t="s">
        <v>1912</v>
      </c>
      <c r="K93" s="19" t="s">
        <v>108</v>
      </c>
      <c r="L93" s="23" t="s">
        <v>59</v>
      </c>
      <c r="M93" s="19"/>
    </row>
    <row r="94" customFormat="false" ht="78" hidden="false" customHeight="true" outlineLevel="0" collapsed="false">
      <c r="A94" s="15" t="s">
        <v>1913</v>
      </c>
      <c r="B94" s="23" t="s">
        <v>1371</v>
      </c>
      <c r="C94" s="17" t="s">
        <v>709</v>
      </c>
      <c r="D94" s="17" t="s">
        <v>710</v>
      </c>
      <c r="E94" s="17" t="s">
        <v>1914</v>
      </c>
      <c r="F94" s="17" t="s">
        <v>1915</v>
      </c>
      <c r="G94" s="17" t="s">
        <v>90</v>
      </c>
      <c r="H94" s="17" t="s">
        <v>1916</v>
      </c>
      <c r="I94" s="17" t="s">
        <v>1917</v>
      </c>
      <c r="J94" s="17" t="s">
        <v>1918</v>
      </c>
      <c r="K94" s="17" t="s">
        <v>91</v>
      </c>
      <c r="L94" s="23" t="s">
        <v>59</v>
      </c>
      <c r="M94" s="17"/>
    </row>
    <row r="95" customFormat="false" ht="78" hidden="false" customHeight="true" outlineLevel="0" collapsed="false">
      <c r="A95" s="18" t="s">
        <v>1919</v>
      </c>
      <c r="B95" s="23" t="s">
        <v>1371</v>
      </c>
      <c r="C95" s="19" t="s">
        <v>709</v>
      </c>
      <c r="D95" s="19" t="s">
        <v>710</v>
      </c>
      <c r="E95" s="19" t="s">
        <v>1920</v>
      </c>
      <c r="F95" s="19" t="s">
        <v>1921</v>
      </c>
      <c r="G95" s="19" t="s">
        <v>1238</v>
      </c>
      <c r="H95" s="19" t="s">
        <v>1922</v>
      </c>
      <c r="I95" s="19" t="s">
        <v>1923</v>
      </c>
      <c r="J95" s="19" t="s">
        <v>1924</v>
      </c>
      <c r="K95" s="19" t="s">
        <v>108</v>
      </c>
      <c r="L95" s="23" t="s">
        <v>59</v>
      </c>
      <c r="M95" s="19"/>
    </row>
    <row r="96" customFormat="false" ht="78" hidden="false" customHeight="true" outlineLevel="0" collapsed="false">
      <c r="A96" s="15" t="s">
        <v>1925</v>
      </c>
      <c r="B96" s="23" t="s">
        <v>1371</v>
      </c>
      <c r="C96" s="17" t="s">
        <v>709</v>
      </c>
      <c r="D96" s="17" t="s">
        <v>710</v>
      </c>
      <c r="E96" s="17" t="s">
        <v>1926</v>
      </c>
      <c r="F96" s="17" t="s">
        <v>1927</v>
      </c>
      <c r="G96" s="17" t="s">
        <v>1613</v>
      </c>
      <c r="H96" s="17" t="s">
        <v>1076</v>
      </c>
      <c r="I96" s="17" t="s">
        <v>859</v>
      </c>
      <c r="J96" s="17" t="s">
        <v>1928</v>
      </c>
      <c r="K96" s="17" t="s">
        <v>108</v>
      </c>
      <c r="L96" s="23" t="s">
        <v>59</v>
      </c>
      <c r="M96" s="17"/>
    </row>
    <row r="97" customFormat="false" ht="78" hidden="false" customHeight="true" outlineLevel="0" collapsed="false">
      <c r="A97" s="18" t="s">
        <v>1929</v>
      </c>
      <c r="B97" s="23" t="s">
        <v>1371</v>
      </c>
      <c r="C97" s="19" t="s">
        <v>1930</v>
      </c>
      <c r="D97" s="19" t="s">
        <v>1931</v>
      </c>
      <c r="E97" s="19" t="s">
        <v>1932</v>
      </c>
      <c r="F97" s="19" t="s">
        <v>1933</v>
      </c>
      <c r="G97" s="19" t="s">
        <v>1934</v>
      </c>
      <c r="H97" s="19" t="s">
        <v>1077</v>
      </c>
      <c r="I97" s="19" t="s">
        <v>859</v>
      </c>
      <c r="J97" s="19" t="s">
        <v>1935</v>
      </c>
      <c r="K97" s="19" t="s">
        <v>108</v>
      </c>
      <c r="L97" s="23" t="s">
        <v>59</v>
      </c>
      <c r="M97" s="19"/>
    </row>
    <row r="98" customFormat="false" ht="78" hidden="false" customHeight="true" outlineLevel="0" collapsed="false">
      <c r="A98" s="15" t="s">
        <v>1936</v>
      </c>
      <c r="B98" s="23" t="s">
        <v>1371</v>
      </c>
      <c r="C98" s="17" t="s">
        <v>1930</v>
      </c>
      <c r="D98" s="17" t="s">
        <v>1931</v>
      </c>
      <c r="E98" s="17" t="s">
        <v>1937</v>
      </c>
      <c r="F98" s="17" t="s">
        <v>1938</v>
      </c>
      <c r="G98" s="17" t="s">
        <v>1070</v>
      </c>
      <c r="H98" s="17" t="s">
        <v>1076</v>
      </c>
      <c r="I98" s="17" t="s">
        <v>1939</v>
      </c>
      <c r="J98" s="17" t="s">
        <v>1940</v>
      </c>
      <c r="K98" s="17" t="s">
        <v>108</v>
      </c>
      <c r="L98" s="23" t="s">
        <v>59</v>
      </c>
      <c r="M98" s="17"/>
    </row>
    <row r="99" customFormat="false" ht="78" hidden="false" customHeight="true" outlineLevel="0" collapsed="false">
      <c r="A99" s="18" t="s">
        <v>1941</v>
      </c>
      <c r="B99" s="23" t="s">
        <v>1371</v>
      </c>
      <c r="C99" s="19" t="s">
        <v>1930</v>
      </c>
      <c r="D99" s="19" t="s">
        <v>1931</v>
      </c>
      <c r="E99" s="19" t="s">
        <v>1942</v>
      </c>
      <c r="F99" s="19" t="s">
        <v>1943</v>
      </c>
      <c r="G99" s="19" t="s">
        <v>1944</v>
      </c>
      <c r="H99" s="19" t="s">
        <v>1245</v>
      </c>
      <c r="I99" s="19" t="s">
        <v>1945</v>
      </c>
      <c r="J99" s="19" t="s">
        <v>1946</v>
      </c>
      <c r="K99" s="19" t="s">
        <v>1947</v>
      </c>
      <c r="L99" s="23" t="s">
        <v>59</v>
      </c>
      <c r="M99" s="19"/>
    </row>
    <row r="100" customFormat="false" ht="78" hidden="false" customHeight="true" outlineLevel="0" collapsed="false">
      <c r="A100" s="15" t="s">
        <v>1948</v>
      </c>
      <c r="B100" s="23" t="s">
        <v>1371</v>
      </c>
      <c r="C100" s="17" t="s">
        <v>100</v>
      </c>
      <c r="D100" s="17" t="s">
        <v>101</v>
      </c>
      <c r="E100" s="17" t="s">
        <v>1949</v>
      </c>
      <c r="F100" s="17" t="s">
        <v>1950</v>
      </c>
      <c r="G100" s="17" t="s">
        <v>1951</v>
      </c>
      <c r="H100" s="17" t="s">
        <v>129</v>
      </c>
      <c r="I100" s="17" t="s">
        <v>1952</v>
      </c>
      <c r="J100" s="17" t="s">
        <v>1953</v>
      </c>
      <c r="K100" s="17" t="s">
        <v>108</v>
      </c>
      <c r="L100" s="23" t="s">
        <v>59</v>
      </c>
      <c r="M100" s="17"/>
    </row>
    <row r="101" customFormat="false" ht="78" hidden="false" customHeight="true" outlineLevel="0" collapsed="false">
      <c r="A101" s="18" t="s">
        <v>1954</v>
      </c>
      <c r="B101" s="23" t="s">
        <v>1371</v>
      </c>
      <c r="C101" s="19" t="s">
        <v>1955</v>
      </c>
      <c r="D101" s="19" t="s">
        <v>51</v>
      </c>
      <c r="E101" s="19" t="s">
        <v>1956</v>
      </c>
      <c r="F101" s="19" t="s">
        <v>1957</v>
      </c>
      <c r="G101" s="19" t="s">
        <v>1958</v>
      </c>
      <c r="H101" s="19" t="s">
        <v>1959</v>
      </c>
      <c r="I101" s="19" t="s">
        <v>1960</v>
      </c>
      <c r="J101" s="19" t="s">
        <v>1961</v>
      </c>
      <c r="K101" s="19" t="s">
        <v>58</v>
      </c>
      <c r="L101" s="23" t="s">
        <v>59</v>
      </c>
      <c r="M101" s="19"/>
    </row>
  </sheetData>
  <autoFilter ref="A1:M101"/>
  <conditionalFormatting sqref="A2:M101">
    <cfRule type="expression" priority="2" aboveAverage="0" equalAverage="0" bottom="0" percent="0" rank="0" text="" dxfId="6">
      <formula>$L2="Done"</formula>
    </cfRule>
  </conditionalFormatting>
  <conditionalFormatting sqref="L2:L101">
    <cfRule type="expression" priority="3" aboveAverage="0" equalAverage="0" bottom="0" percent="0" rank="0" text="" dxfId="7">
      <formula>$L2="In progress"</formula>
    </cfRule>
    <cfRule type="expression" priority="4" aboveAverage="0" equalAverage="0" bottom="0" percent="0" rank="0" text="" dxfId="8">
      <formula>$L2="Stuck"</formula>
    </cfRule>
  </conditionalFormatting>
  <conditionalFormatting sqref="A2:A101">
    <cfRule type="expression" priority="5" aboveAverage="0" equalAverage="0" bottom="0" percent="0" rank="0" text="" dxfId="7">
      <formula>$L2="In progress"</formula>
    </cfRule>
  </conditionalFormatting>
  <dataValidations count="1">
    <dataValidation allowBlank="false" error="Pick a status" errorStyle="stop" errorTitle="Status" operator="between" showDropDown="false" showErrorMessage="false" showInputMessage="false" sqref="L2:L101" type="list">
      <formula1>"Not started,In progress,Done,Stuck"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F5B"/>
    <pageSetUpPr fitToPage="tru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90"/>
    <col collapsed="false" customWidth="true" hidden="false" outlineLevel="0" max="4" min="4" style="0" width="36"/>
  </cols>
  <sheetData>
    <row r="1" customFormat="false" ht="24" hidden="false" customHeight="true" outlineLevel="0" collapsed="false">
      <c r="A1" s="24" t="s">
        <v>1962</v>
      </c>
      <c r="B1" s="24" t="s">
        <v>1963</v>
      </c>
      <c r="C1" s="24" t="s">
        <v>1964</v>
      </c>
      <c r="D1" s="24" t="s">
        <v>1965</v>
      </c>
    </row>
    <row r="2" customFormat="false" ht="43.5" hidden="false" customHeight="true" outlineLevel="0" collapsed="false">
      <c r="A2" s="25" t="s">
        <v>1966</v>
      </c>
      <c r="B2" s="25" t="s">
        <v>67</v>
      </c>
      <c r="C2" s="25" t="s">
        <v>1967</v>
      </c>
      <c r="D2" s="25" t="s">
        <v>1968</v>
      </c>
    </row>
    <row r="3" customFormat="false" ht="43.5" hidden="false" customHeight="true" outlineLevel="0" collapsed="false">
      <c r="A3" s="4" t="s">
        <v>1966</v>
      </c>
      <c r="B3" s="4" t="s">
        <v>75</v>
      </c>
      <c r="C3" s="4" t="s">
        <v>1969</v>
      </c>
      <c r="D3" s="4" t="s">
        <v>1970</v>
      </c>
    </row>
    <row r="4" customFormat="false" ht="43.5" hidden="false" customHeight="true" outlineLevel="0" collapsed="false">
      <c r="A4" s="25" t="s">
        <v>1966</v>
      </c>
      <c r="B4" s="25" t="s">
        <v>387</v>
      </c>
      <c r="C4" s="25" t="s">
        <v>1971</v>
      </c>
      <c r="D4" s="25" t="s">
        <v>1972</v>
      </c>
    </row>
    <row r="5" customFormat="false" ht="43.5" hidden="false" customHeight="true" outlineLevel="0" collapsed="false">
      <c r="A5" s="4" t="s">
        <v>1966</v>
      </c>
      <c r="B5" s="4" t="s">
        <v>1973</v>
      </c>
      <c r="C5" s="4" t="s">
        <v>1974</v>
      </c>
      <c r="D5" s="4" t="s">
        <v>1975</v>
      </c>
    </row>
    <row r="6" customFormat="false" ht="43.5" hidden="false" customHeight="true" outlineLevel="0" collapsed="false">
      <c r="A6" s="25" t="s">
        <v>1966</v>
      </c>
      <c r="B6" s="25" t="s">
        <v>1976</v>
      </c>
      <c r="C6" s="25" t="s">
        <v>1977</v>
      </c>
      <c r="D6" s="25" t="s">
        <v>1948</v>
      </c>
    </row>
    <row r="7" customFormat="false" ht="43.5" hidden="false" customHeight="true" outlineLevel="0" collapsed="false">
      <c r="A7" s="4" t="s">
        <v>1978</v>
      </c>
      <c r="B7" s="4" t="s">
        <v>1979</v>
      </c>
      <c r="C7" s="4" t="s">
        <v>1980</v>
      </c>
      <c r="D7" s="4" t="s">
        <v>1981</v>
      </c>
    </row>
    <row r="8" customFormat="false" ht="43.5" hidden="false" customHeight="true" outlineLevel="0" collapsed="false">
      <c r="A8" s="25" t="s">
        <v>1978</v>
      </c>
      <c r="B8" s="25" t="s">
        <v>394</v>
      </c>
      <c r="C8" s="25" t="s">
        <v>1982</v>
      </c>
      <c r="D8" s="25" t="s">
        <v>1983</v>
      </c>
    </row>
    <row r="9" customFormat="false" ht="43.5" hidden="false" customHeight="true" outlineLevel="0" collapsed="false">
      <c r="A9" s="4" t="s">
        <v>1978</v>
      </c>
      <c r="B9" s="4" t="s">
        <v>1984</v>
      </c>
      <c r="C9" s="4" t="s">
        <v>1985</v>
      </c>
      <c r="D9" s="4" t="s">
        <v>1986</v>
      </c>
    </row>
    <row r="10" customFormat="false" ht="43.5" hidden="false" customHeight="true" outlineLevel="0" collapsed="false">
      <c r="A10" s="25" t="s">
        <v>1978</v>
      </c>
      <c r="B10" s="25" t="s">
        <v>91</v>
      </c>
      <c r="C10" s="25" t="s">
        <v>1987</v>
      </c>
      <c r="D10" s="25" t="s">
        <v>1988</v>
      </c>
    </row>
    <row r="11" customFormat="false" ht="43.5" hidden="false" customHeight="true" outlineLevel="0" collapsed="false">
      <c r="A11" s="4" t="s">
        <v>1978</v>
      </c>
      <c r="B11" s="4" t="s">
        <v>1989</v>
      </c>
      <c r="C11" s="4" t="s">
        <v>1990</v>
      </c>
      <c r="D11" s="4" t="s">
        <v>1350</v>
      </c>
    </row>
    <row r="12" customFormat="false" ht="43.5" hidden="false" customHeight="true" outlineLevel="0" collapsed="false">
      <c r="A12" s="25" t="s">
        <v>1978</v>
      </c>
      <c r="B12" s="25" t="s">
        <v>1410</v>
      </c>
      <c r="C12" s="25" t="s">
        <v>1991</v>
      </c>
      <c r="D12" s="25" t="s">
        <v>1992</v>
      </c>
    </row>
    <row r="13" customFormat="false" ht="43.5" hidden="false" customHeight="true" outlineLevel="0" collapsed="false">
      <c r="A13" s="4" t="s">
        <v>1978</v>
      </c>
      <c r="B13" s="4" t="s">
        <v>1503</v>
      </c>
      <c r="C13" s="4" t="s">
        <v>1993</v>
      </c>
      <c r="D13" s="4" t="s">
        <v>1606</v>
      </c>
    </row>
    <row r="14" customFormat="false" ht="43.5" hidden="false" customHeight="true" outlineLevel="0" collapsed="false">
      <c r="A14" s="25" t="s">
        <v>1978</v>
      </c>
      <c r="B14" s="25" t="s">
        <v>1994</v>
      </c>
      <c r="C14" s="25" t="s">
        <v>1995</v>
      </c>
      <c r="D14" s="25" t="s">
        <v>1796</v>
      </c>
    </row>
    <row r="15" customFormat="false" ht="43.5" hidden="false" customHeight="true" outlineLevel="0" collapsed="false">
      <c r="A15" s="4" t="s">
        <v>1978</v>
      </c>
      <c r="B15" s="4" t="s">
        <v>1609</v>
      </c>
      <c r="C15" s="4" t="s">
        <v>1996</v>
      </c>
      <c r="D15" s="4" t="s">
        <v>1865</v>
      </c>
    </row>
    <row r="16" customFormat="false" ht="43.5" hidden="false" customHeight="true" outlineLevel="0" collapsed="false">
      <c r="A16" s="25" t="s">
        <v>1997</v>
      </c>
      <c r="B16" s="25" t="s">
        <v>1998</v>
      </c>
      <c r="C16" s="25" t="s">
        <v>1999</v>
      </c>
      <c r="D16" s="25" t="s">
        <v>76</v>
      </c>
    </row>
    <row r="17" customFormat="false" ht="43.5" hidden="false" customHeight="true" outlineLevel="0" collapsed="false">
      <c r="A17" s="4" t="s">
        <v>1997</v>
      </c>
      <c r="B17" s="4" t="s">
        <v>167</v>
      </c>
      <c r="C17" s="4" t="s">
        <v>2000</v>
      </c>
      <c r="D17" s="4" t="s">
        <v>340</v>
      </c>
    </row>
    <row r="18" customFormat="false" ht="43.5" hidden="false" customHeight="true" outlineLevel="0" collapsed="false">
      <c r="A18" s="25" t="s">
        <v>1997</v>
      </c>
      <c r="B18" s="25" t="s">
        <v>2001</v>
      </c>
      <c r="C18" s="25" t="s">
        <v>2002</v>
      </c>
      <c r="D18" s="25" t="s">
        <v>2003</v>
      </c>
    </row>
    <row r="19" customFormat="false" ht="43.5" hidden="false" customHeight="true" outlineLevel="0" collapsed="false">
      <c r="A19" s="4" t="s">
        <v>1997</v>
      </c>
      <c r="B19" s="4" t="s">
        <v>2004</v>
      </c>
      <c r="C19" s="4" t="s">
        <v>2005</v>
      </c>
      <c r="D19" s="4" t="s">
        <v>92</v>
      </c>
    </row>
    <row r="20" customFormat="false" ht="43.5" hidden="false" customHeight="true" outlineLevel="0" collapsed="false">
      <c r="A20" s="25" t="s">
        <v>1997</v>
      </c>
      <c r="B20" s="25" t="s">
        <v>836</v>
      </c>
      <c r="C20" s="25" t="s">
        <v>2006</v>
      </c>
      <c r="D20" s="25" t="s">
        <v>895</v>
      </c>
    </row>
    <row r="21" customFormat="false" ht="43.5" hidden="false" customHeight="true" outlineLevel="0" collapsed="false">
      <c r="A21" s="4" t="s">
        <v>1997</v>
      </c>
      <c r="B21" s="4" t="s">
        <v>2007</v>
      </c>
      <c r="C21" s="4" t="s">
        <v>2008</v>
      </c>
      <c r="D21" s="4" t="s">
        <v>805</v>
      </c>
    </row>
    <row r="22" customFormat="false" ht="43.5" hidden="false" customHeight="true" outlineLevel="0" collapsed="false">
      <c r="A22" s="25" t="s">
        <v>1997</v>
      </c>
      <c r="B22" s="25" t="s">
        <v>2009</v>
      </c>
      <c r="C22" s="25" t="s">
        <v>2010</v>
      </c>
      <c r="D22" s="25" t="s">
        <v>1919</v>
      </c>
    </row>
    <row r="23" customFormat="false" ht="43.5" hidden="false" customHeight="true" outlineLevel="0" collapsed="false">
      <c r="A23" s="4" t="s">
        <v>1997</v>
      </c>
      <c r="B23" s="4" t="s">
        <v>2011</v>
      </c>
      <c r="C23" s="4" t="s">
        <v>2012</v>
      </c>
      <c r="D23" s="4" t="s">
        <v>575</v>
      </c>
    </row>
    <row r="24" customFormat="false" ht="43.5" hidden="false" customHeight="true" outlineLevel="0" collapsed="false">
      <c r="A24" s="25" t="s">
        <v>1997</v>
      </c>
      <c r="B24" s="25" t="s">
        <v>1552</v>
      </c>
      <c r="C24" s="25" t="s">
        <v>2013</v>
      </c>
      <c r="D24" s="25" t="s">
        <v>1037</v>
      </c>
    </row>
    <row r="25" customFormat="false" ht="43.5" hidden="false" customHeight="true" outlineLevel="0" collapsed="false">
      <c r="A25" s="4" t="s">
        <v>1997</v>
      </c>
      <c r="B25" s="4" t="s">
        <v>894</v>
      </c>
      <c r="C25" s="4" t="s">
        <v>2014</v>
      </c>
      <c r="D25" s="4" t="s">
        <v>1767</v>
      </c>
    </row>
    <row r="26" customFormat="false" ht="43.5" hidden="false" customHeight="true" outlineLevel="0" collapsed="false">
      <c r="A26" s="25" t="s">
        <v>1997</v>
      </c>
      <c r="B26" s="25" t="s">
        <v>1619</v>
      </c>
      <c r="C26" s="25" t="s">
        <v>2015</v>
      </c>
      <c r="D26" s="25" t="s">
        <v>1870</v>
      </c>
    </row>
    <row r="27" customFormat="false" ht="43.5" hidden="false" customHeight="true" outlineLevel="0" collapsed="false">
      <c r="A27" s="4" t="s">
        <v>1997</v>
      </c>
      <c r="B27" s="4" t="s">
        <v>1631</v>
      </c>
      <c r="C27" s="4" t="s">
        <v>2016</v>
      </c>
      <c r="D27" s="4" t="s">
        <v>1913</v>
      </c>
    </row>
    <row r="28" customFormat="false" ht="43.5" hidden="false" customHeight="true" outlineLevel="0" collapsed="false">
      <c r="A28" s="25" t="s">
        <v>1997</v>
      </c>
      <c r="B28" s="25" t="s">
        <v>1529</v>
      </c>
      <c r="C28" s="25" t="s">
        <v>2017</v>
      </c>
      <c r="D28" s="25" t="s">
        <v>1721</v>
      </c>
    </row>
    <row r="29" customFormat="false" ht="43.5" hidden="false" customHeight="true" outlineLevel="0" collapsed="false">
      <c r="A29" s="4" t="s">
        <v>1997</v>
      </c>
      <c r="B29" s="4" t="s">
        <v>1523</v>
      </c>
      <c r="C29" s="4" t="s">
        <v>2018</v>
      </c>
      <c r="D29" s="4" t="s">
        <v>1703</v>
      </c>
    </row>
    <row r="30" customFormat="false" ht="43.5" hidden="false" customHeight="true" outlineLevel="0" collapsed="false">
      <c r="A30" s="25" t="s">
        <v>1997</v>
      </c>
      <c r="B30" s="25" t="s">
        <v>1594</v>
      </c>
      <c r="C30" s="25" t="s">
        <v>2019</v>
      </c>
      <c r="D30" s="25" t="s">
        <v>1850</v>
      </c>
    </row>
    <row r="31" customFormat="false" ht="43.5" hidden="false" customHeight="true" outlineLevel="0" collapsed="false">
      <c r="A31" s="4" t="s">
        <v>1997</v>
      </c>
      <c r="B31" s="4" t="s">
        <v>2020</v>
      </c>
      <c r="C31" s="4" t="s">
        <v>2021</v>
      </c>
      <c r="D31" s="4" t="s">
        <v>670</v>
      </c>
    </row>
    <row r="32" customFormat="false" ht="43.5" hidden="false" customHeight="true" outlineLevel="0" collapsed="false">
      <c r="A32" s="25" t="s">
        <v>1997</v>
      </c>
      <c r="B32" s="25" t="s">
        <v>2022</v>
      </c>
      <c r="C32" s="25" t="s">
        <v>2023</v>
      </c>
      <c r="D32" s="25" t="s">
        <v>1350</v>
      </c>
    </row>
    <row r="33" customFormat="false" ht="43.5" hidden="false" customHeight="true" outlineLevel="0" collapsed="false">
      <c r="A33" s="4" t="s">
        <v>1978</v>
      </c>
      <c r="B33" s="4" t="s">
        <v>1410</v>
      </c>
      <c r="C33" s="4" t="s">
        <v>2024</v>
      </c>
      <c r="D33" s="4" t="s">
        <v>2025</v>
      </c>
    </row>
    <row r="34" customFormat="false" ht="43.5" hidden="false" customHeight="true" outlineLevel="0" collapsed="false">
      <c r="A34" s="25" t="s">
        <v>1978</v>
      </c>
      <c r="B34" s="25" t="s">
        <v>2026</v>
      </c>
      <c r="C34" s="25" t="s">
        <v>2027</v>
      </c>
      <c r="D34" s="25" t="s">
        <v>2028</v>
      </c>
    </row>
    <row r="35" customFormat="false" ht="43.5" hidden="false" customHeight="true" outlineLevel="0" collapsed="false">
      <c r="A35" s="4" t="s">
        <v>1997</v>
      </c>
      <c r="B35" s="4" t="s">
        <v>621</v>
      </c>
      <c r="C35" s="4" t="s">
        <v>2029</v>
      </c>
      <c r="D35" s="4" t="s">
        <v>2030</v>
      </c>
    </row>
    <row r="36" customFormat="false" ht="43.5" hidden="false" customHeight="true" outlineLevel="0" collapsed="false">
      <c r="A36" s="25" t="s">
        <v>1997</v>
      </c>
      <c r="B36" s="25" t="s">
        <v>1248</v>
      </c>
      <c r="C36" s="25" t="s">
        <v>2031</v>
      </c>
      <c r="D36" s="25" t="s">
        <v>2032</v>
      </c>
    </row>
    <row r="37" customFormat="false" ht="43.5" hidden="false" customHeight="true" outlineLevel="0" collapsed="false">
      <c r="A37" s="4" t="s">
        <v>1997</v>
      </c>
      <c r="B37" s="4" t="s">
        <v>1838</v>
      </c>
      <c r="C37" s="4" t="s">
        <v>2033</v>
      </c>
      <c r="D37" s="4" t="s">
        <v>2034</v>
      </c>
    </row>
    <row r="38" customFormat="false" ht="43.5" hidden="false" customHeight="true" outlineLevel="0" collapsed="false">
      <c r="A38" s="25" t="s">
        <v>1997</v>
      </c>
      <c r="B38" s="25" t="s">
        <v>1187</v>
      </c>
      <c r="C38" s="25" t="s">
        <v>2035</v>
      </c>
      <c r="D38" s="25" t="s">
        <v>2036</v>
      </c>
    </row>
    <row r="39" customFormat="false" ht="43.5" hidden="false" customHeight="true" outlineLevel="0" collapsed="false">
      <c r="A39" s="4" t="s">
        <v>1997</v>
      </c>
      <c r="B39" s="4" t="s">
        <v>1783</v>
      </c>
      <c r="C39" s="4" t="s">
        <v>2037</v>
      </c>
      <c r="D39" s="4" t="s">
        <v>2038</v>
      </c>
    </row>
    <row r="40" customFormat="false" ht="43.5" hidden="false" customHeight="true" outlineLevel="0" collapsed="false">
      <c r="A40" s="25" t="s">
        <v>1997</v>
      </c>
      <c r="B40" s="25" t="s">
        <v>1114</v>
      </c>
      <c r="C40" s="25" t="s">
        <v>2039</v>
      </c>
      <c r="D40" s="25" t="s">
        <v>2040</v>
      </c>
    </row>
    <row r="41" customFormat="false" ht="43.5" hidden="false" customHeight="true" outlineLevel="0" collapsed="false">
      <c r="A41" s="4" t="s">
        <v>1997</v>
      </c>
      <c r="B41" s="4" t="s">
        <v>1714</v>
      </c>
      <c r="C41" s="4" t="s">
        <v>2041</v>
      </c>
      <c r="D41" s="4" t="s">
        <v>2042</v>
      </c>
    </row>
    <row r="42" customFormat="false" ht="43.5" hidden="false" customHeight="true" outlineLevel="0" collapsed="false">
      <c r="A42" s="25" t="s">
        <v>1997</v>
      </c>
      <c r="B42" s="25" t="s">
        <v>1308</v>
      </c>
      <c r="C42" s="25" t="s">
        <v>2043</v>
      </c>
      <c r="D42" s="25" t="s">
        <v>2044</v>
      </c>
    </row>
    <row r="43" customFormat="false" ht="43.5" hidden="false" customHeight="true" outlineLevel="0" collapsed="false">
      <c r="A43" s="4" t="s">
        <v>1997</v>
      </c>
      <c r="B43" s="4" t="s">
        <v>1879</v>
      </c>
      <c r="C43" s="4" t="s">
        <v>2045</v>
      </c>
      <c r="D43" s="4" t="s">
        <v>2046</v>
      </c>
    </row>
    <row r="44" customFormat="false" ht="43.5" hidden="false" customHeight="true" outlineLevel="0" collapsed="false">
      <c r="A44" s="25" t="s">
        <v>1997</v>
      </c>
      <c r="B44" s="25" t="s">
        <v>1947</v>
      </c>
      <c r="C44" s="25" t="s">
        <v>2047</v>
      </c>
      <c r="D44" s="25" t="s">
        <v>2048</v>
      </c>
    </row>
    <row r="45" customFormat="false" ht="43.5" hidden="false" customHeight="true" outlineLevel="0" collapsed="false">
      <c r="A45" s="4" t="s">
        <v>1955</v>
      </c>
      <c r="B45" s="4" t="s">
        <v>58</v>
      </c>
      <c r="C45" s="4" t="s">
        <v>2049</v>
      </c>
      <c r="D45" s="4" t="s">
        <v>2050</v>
      </c>
    </row>
    <row r="46" customFormat="false" ht="43.5" hidden="false" customHeight="true" outlineLevel="0" collapsed="false">
      <c r="A46" s="25" t="s">
        <v>1955</v>
      </c>
      <c r="B46" s="25" t="s">
        <v>2051</v>
      </c>
      <c r="C46" s="25" t="s">
        <v>2052</v>
      </c>
      <c r="D46" s="25" t="s">
        <v>2053</v>
      </c>
    </row>
    <row r="47" customFormat="false" ht="43.5" hidden="false" customHeight="true" outlineLevel="0" collapsed="false">
      <c r="A47" s="4" t="s">
        <v>2054</v>
      </c>
      <c r="B47" s="4" t="s">
        <v>54</v>
      </c>
      <c r="C47" s="4" t="s">
        <v>2055</v>
      </c>
      <c r="D47" s="4" t="s">
        <v>2050</v>
      </c>
    </row>
  </sheetData>
  <autoFilter ref="A1:D47"/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92E"/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26" t="s">
        <v>2056</v>
      </c>
      <c r="B1" s="26"/>
      <c r="C1" s="26"/>
      <c r="D1" s="26"/>
      <c r="E1" s="26"/>
      <c r="F1" s="26"/>
      <c r="G1" s="26"/>
    </row>
    <row r="3" customFormat="false" ht="15" hidden="false" customHeight="false" outlineLevel="0" collapsed="false">
      <c r="A3" s="27" t="s">
        <v>36</v>
      </c>
      <c r="B3" s="27" t="s">
        <v>2057</v>
      </c>
      <c r="C3" s="27" t="s">
        <v>32</v>
      </c>
      <c r="D3" s="27" t="s">
        <v>33</v>
      </c>
      <c r="E3" s="27" t="s">
        <v>34</v>
      </c>
      <c r="F3" s="27" t="s">
        <v>59</v>
      </c>
      <c r="G3" s="27" t="s">
        <v>2058</v>
      </c>
    </row>
    <row r="4" customFormat="false" ht="15" hidden="false" customHeight="false" outlineLevel="0" collapsed="false">
      <c r="A4" s="14" t="s">
        <v>49</v>
      </c>
      <c r="B4" s="28" t="n">
        <v>100</v>
      </c>
      <c r="C4" s="28" t="n">
        <f aca="false">COUNTIF('01 Easy'!L:L,"Done")</f>
        <v>0</v>
      </c>
      <c r="D4" s="28" t="n">
        <f aca="false">COUNTIF('01 Easy'!L:L,"In progress")</f>
        <v>0</v>
      </c>
      <c r="E4" s="28" t="n">
        <f aca="false">COUNTIF('01 Easy'!L:L,"Stuck")</f>
        <v>0</v>
      </c>
      <c r="F4" s="28" t="n">
        <f aca="false">COUNTIF('01 Easy'!L:L,"Not started")</f>
        <v>100</v>
      </c>
      <c r="G4" s="29" t="n">
        <f aca="false">IF(B4=0,0,C4/B4)</f>
        <v>0</v>
      </c>
    </row>
    <row r="5" customFormat="false" ht="15" hidden="false" customHeight="false" outlineLevel="0" collapsed="false">
      <c r="A5" s="20" t="s">
        <v>742</v>
      </c>
      <c r="B5" s="28" t="n">
        <v>100</v>
      </c>
      <c r="C5" s="28" t="n">
        <f aca="false">COUNTIF('02 Medium'!L:L,"Done")</f>
        <v>0</v>
      </c>
      <c r="D5" s="28" t="n">
        <f aca="false">COUNTIF('02 Medium'!L:L,"In progress")</f>
        <v>0</v>
      </c>
      <c r="E5" s="28" t="n">
        <f aca="false">COUNTIF('02 Medium'!L:L,"Stuck")</f>
        <v>0</v>
      </c>
      <c r="F5" s="28" t="n">
        <f aca="false">COUNTIF('02 Medium'!L:L,"Not started")</f>
        <v>100</v>
      </c>
      <c r="G5" s="29" t="n">
        <f aca="false">IF(B5=0,0,C5/B5)</f>
        <v>0</v>
      </c>
    </row>
    <row r="6" customFormat="false" ht="15" hidden="false" customHeight="false" outlineLevel="0" collapsed="false">
      <c r="A6" s="22" t="s">
        <v>1371</v>
      </c>
      <c r="B6" s="28" t="n">
        <v>100</v>
      </c>
      <c r="C6" s="28" t="n">
        <f aca="false">COUNTIF('03 Tough'!L:L,"Done")</f>
        <v>0</v>
      </c>
      <c r="D6" s="28" t="n">
        <f aca="false">COUNTIF('03 Tough'!L:L,"In progress")</f>
        <v>0</v>
      </c>
      <c r="E6" s="28" t="n">
        <f aca="false">COUNTIF('03 Tough'!L:L,"Stuck")</f>
        <v>0</v>
      </c>
      <c r="F6" s="28" t="n">
        <f aca="false">COUNTIF('03 Tough'!L:L,"Not started")</f>
        <v>100</v>
      </c>
      <c r="G6" s="29" t="n">
        <f aca="false">IF(B6=0,0,C6/B6)</f>
        <v>0</v>
      </c>
    </row>
    <row r="7" customFormat="false" ht="15" hidden="false" customHeight="false" outlineLevel="0" collapsed="false">
      <c r="A7" s="30" t="s">
        <v>2059</v>
      </c>
      <c r="B7" s="31" t="n">
        <f aca="false">SUM(B4:B6)</f>
        <v>300</v>
      </c>
      <c r="C7" s="31" t="n">
        <f aca="false">SUM(C4:C6)</f>
        <v>0</v>
      </c>
      <c r="D7" s="31" t="n">
        <f aca="false">SUM(D4:D6)</f>
        <v>0</v>
      </c>
      <c r="E7" s="31" t="n">
        <f aca="false">SUM(E4:E6)</f>
        <v>0</v>
      </c>
      <c r="F7" s="31" t="n">
        <f aca="false">SUM(F4:F6)</f>
        <v>300</v>
      </c>
      <c r="G7" s="32" t="n">
        <f aca="false">IF(B7=0,0,C7/B7)</f>
        <v>0</v>
      </c>
    </row>
    <row r="9" customFormat="false" ht="15" hidden="false" customHeight="false" outlineLevel="0" collapsed="false">
      <c r="A9" s="33" t="s">
        <v>2060</v>
      </c>
      <c r="B9" s="33"/>
      <c r="C9" s="33"/>
      <c r="D9" s="33"/>
      <c r="E9" s="33"/>
      <c r="F9" s="33"/>
      <c r="G9" s="33"/>
    </row>
    <row r="11" customFormat="false" ht="15" hidden="false" customHeight="false" outlineLevel="0" collapsed="false">
      <c r="A11" s="34" t="s">
        <v>37</v>
      </c>
      <c r="B11" s="34" t="s">
        <v>49</v>
      </c>
      <c r="C11" s="34" t="s">
        <v>742</v>
      </c>
      <c r="D11" s="34" t="s">
        <v>1371</v>
      </c>
      <c r="E11" s="34" t="s">
        <v>2057</v>
      </c>
    </row>
    <row r="12" customFormat="false" ht="15" hidden="false" customHeight="false" outlineLevel="0" collapsed="false">
      <c r="A12" s="35" t="s">
        <v>50</v>
      </c>
      <c r="B12" s="36" t="n">
        <f aca="false">COUNTIF('01 Easy'!C:C,A12)</f>
        <v>6</v>
      </c>
      <c r="C12" s="36" t="n">
        <f aca="false">COUNTIF('02 Medium'!C:C,A12)</f>
        <v>0</v>
      </c>
      <c r="D12" s="36" t="n">
        <f aca="false">COUNTIF('03 Tough'!C:C,A12)</f>
        <v>0</v>
      </c>
      <c r="E12" s="36" t="n">
        <f aca="false">SUM(B12:D12)</f>
        <v>6</v>
      </c>
    </row>
    <row r="13" customFormat="false" ht="15" hidden="false" customHeight="false" outlineLevel="0" collapsed="false">
      <c r="A13" s="35" t="s">
        <v>100</v>
      </c>
      <c r="B13" s="36" t="n">
        <f aca="false">COUNTIF('01 Easy'!C:C,A13)</f>
        <v>8</v>
      </c>
      <c r="C13" s="36" t="n">
        <f aca="false">COUNTIF('02 Medium'!C:C,A13)</f>
        <v>0</v>
      </c>
      <c r="D13" s="36" t="n">
        <f aca="false">COUNTIF('03 Tough'!C:C,A13)</f>
        <v>1</v>
      </c>
      <c r="E13" s="36" t="n">
        <f aca="false">SUM(B13:D13)</f>
        <v>9</v>
      </c>
    </row>
    <row r="14" customFormat="false" ht="15" hidden="false" customHeight="false" outlineLevel="0" collapsed="false">
      <c r="A14" s="35" t="s">
        <v>159</v>
      </c>
      <c r="B14" s="36" t="n">
        <f aca="false">COUNTIF('01 Easy'!C:C,A14)</f>
        <v>11</v>
      </c>
      <c r="C14" s="36" t="n">
        <f aca="false">COUNTIF('02 Medium'!C:C,A14)</f>
        <v>7</v>
      </c>
      <c r="D14" s="36" t="n">
        <f aca="false">COUNTIF('03 Tough'!C:C,A14)</f>
        <v>4</v>
      </c>
      <c r="E14" s="36" t="n">
        <f aca="false">SUM(B14:D14)</f>
        <v>22</v>
      </c>
    </row>
    <row r="15" customFormat="false" ht="15" hidden="false" customHeight="false" outlineLevel="0" collapsed="false">
      <c r="A15" s="35" t="s">
        <v>233</v>
      </c>
      <c r="B15" s="36" t="n">
        <f aca="false">COUNTIF('01 Easy'!C:C,A15)</f>
        <v>7</v>
      </c>
      <c r="C15" s="36" t="n">
        <f aca="false">COUNTIF('02 Medium'!C:C,A15)</f>
        <v>8</v>
      </c>
      <c r="D15" s="36" t="n">
        <f aca="false">COUNTIF('03 Tough'!C:C,A15)</f>
        <v>6</v>
      </c>
      <c r="E15" s="36" t="n">
        <f aca="false">SUM(B15:D15)</f>
        <v>21</v>
      </c>
    </row>
    <row r="16" customFormat="false" ht="15" hidden="false" customHeight="false" outlineLevel="0" collapsed="false">
      <c r="A16" s="35" t="s">
        <v>283</v>
      </c>
      <c r="B16" s="36" t="n">
        <f aca="false">COUNTIF('01 Easy'!C:C,A16)</f>
        <v>5</v>
      </c>
      <c r="C16" s="36" t="n">
        <f aca="false">COUNTIF('02 Medium'!C:C,A16)</f>
        <v>5</v>
      </c>
      <c r="D16" s="36" t="n">
        <f aca="false">COUNTIF('03 Tough'!C:C,A16)</f>
        <v>4</v>
      </c>
      <c r="E16" s="36" t="n">
        <f aca="false">SUM(B16:D16)</f>
        <v>14</v>
      </c>
    </row>
    <row r="17" customFormat="false" ht="15" hidden="false" customHeight="false" outlineLevel="0" collapsed="false">
      <c r="A17" s="35" t="s">
        <v>319</v>
      </c>
      <c r="B17" s="36" t="n">
        <f aca="false">COUNTIF('01 Easy'!C:C,A17)</f>
        <v>5</v>
      </c>
      <c r="C17" s="36" t="n">
        <f aca="false">COUNTIF('02 Medium'!C:C,A17)</f>
        <v>5</v>
      </c>
      <c r="D17" s="36" t="n">
        <f aca="false">COUNTIF('03 Tough'!C:C,A17)</f>
        <v>4</v>
      </c>
      <c r="E17" s="36" t="n">
        <f aca="false">SUM(B17:D17)</f>
        <v>14</v>
      </c>
    </row>
    <row r="18" customFormat="false" ht="15" hidden="false" customHeight="false" outlineLevel="0" collapsed="false">
      <c r="A18" s="35" t="s">
        <v>353</v>
      </c>
      <c r="B18" s="36" t="n">
        <f aca="false">COUNTIF('01 Easy'!C:C,A18)</f>
        <v>7</v>
      </c>
      <c r="C18" s="36" t="n">
        <f aca="false">COUNTIF('02 Medium'!C:C,A18)</f>
        <v>6</v>
      </c>
      <c r="D18" s="36" t="n">
        <f aca="false">COUNTIF('03 Tough'!C:C,A18)</f>
        <v>5</v>
      </c>
      <c r="E18" s="36" t="n">
        <f aca="false">SUM(B18:D18)</f>
        <v>18</v>
      </c>
    </row>
    <row r="19" customFormat="false" ht="15" hidden="false" customHeight="false" outlineLevel="0" collapsed="false">
      <c r="A19" s="35" t="s">
        <v>402</v>
      </c>
      <c r="B19" s="36" t="n">
        <f aca="false">COUNTIF('01 Easy'!C:C,A19)</f>
        <v>3</v>
      </c>
      <c r="C19" s="36" t="n">
        <f aca="false">COUNTIF('02 Medium'!C:C,A19)</f>
        <v>5</v>
      </c>
      <c r="D19" s="36" t="n">
        <f aca="false">COUNTIF('03 Tough'!C:C,A19)</f>
        <v>8</v>
      </c>
      <c r="E19" s="36" t="n">
        <f aca="false">SUM(B19:D19)</f>
        <v>16</v>
      </c>
    </row>
    <row r="20" customFormat="false" ht="15" hidden="false" customHeight="false" outlineLevel="0" collapsed="false">
      <c r="A20" s="35" t="s">
        <v>424</v>
      </c>
      <c r="B20" s="36" t="n">
        <f aca="false">COUNTIF('01 Easy'!C:C,A20)</f>
        <v>4</v>
      </c>
      <c r="C20" s="36" t="n">
        <f aca="false">COUNTIF('02 Medium'!C:C,A20)</f>
        <v>5</v>
      </c>
      <c r="D20" s="36" t="n">
        <f aca="false">COUNTIF('03 Tough'!C:C,A20)</f>
        <v>8</v>
      </c>
      <c r="E20" s="36" t="n">
        <f aca="false">SUM(B20:D20)</f>
        <v>17</v>
      </c>
    </row>
    <row r="21" customFormat="false" ht="15" hidden="false" customHeight="false" outlineLevel="0" collapsed="false">
      <c r="A21" s="35" t="s">
        <v>452</v>
      </c>
      <c r="B21" s="36" t="n">
        <f aca="false">COUNTIF('01 Easy'!C:C,A21)</f>
        <v>3</v>
      </c>
      <c r="C21" s="36" t="n">
        <f aca="false">COUNTIF('02 Medium'!C:C,A21)</f>
        <v>4</v>
      </c>
      <c r="D21" s="36" t="n">
        <f aca="false">COUNTIF('03 Tough'!C:C,A21)</f>
        <v>6</v>
      </c>
      <c r="E21" s="36" t="n">
        <f aca="false">SUM(B21:D21)</f>
        <v>13</v>
      </c>
    </row>
    <row r="22" customFormat="false" ht="15" hidden="false" customHeight="false" outlineLevel="0" collapsed="false">
      <c r="A22" s="35" t="s">
        <v>473</v>
      </c>
      <c r="B22" s="36" t="n">
        <f aca="false">COUNTIF('01 Easy'!C:C,A22)</f>
        <v>8</v>
      </c>
      <c r="C22" s="36" t="n">
        <f aca="false">COUNTIF('02 Medium'!C:C,A22)</f>
        <v>9</v>
      </c>
      <c r="D22" s="36" t="n">
        <f aca="false">COUNTIF('03 Tough'!C:C,A22)</f>
        <v>8</v>
      </c>
      <c r="E22" s="36" t="n">
        <f aca="false">SUM(B22:D22)</f>
        <v>25</v>
      </c>
    </row>
    <row r="23" customFormat="false" ht="15" hidden="false" customHeight="false" outlineLevel="0" collapsed="false">
      <c r="A23" s="35" t="s">
        <v>519</v>
      </c>
      <c r="B23" s="36" t="n">
        <f aca="false">COUNTIF('01 Easy'!C:C,A23)</f>
        <v>7</v>
      </c>
      <c r="C23" s="36" t="n">
        <f aca="false">COUNTIF('02 Medium'!C:C,A23)</f>
        <v>9</v>
      </c>
      <c r="D23" s="36" t="n">
        <f aca="false">COUNTIF('03 Tough'!C:C,A23)</f>
        <v>8</v>
      </c>
      <c r="E23" s="36" t="n">
        <f aca="false">SUM(B23:D23)</f>
        <v>24</v>
      </c>
    </row>
    <row r="24" customFormat="false" ht="15" hidden="false" customHeight="false" outlineLevel="0" collapsed="false">
      <c r="A24" s="35" t="s">
        <v>567</v>
      </c>
      <c r="B24" s="36" t="n">
        <f aca="false">COUNTIF('01 Easy'!C:C,A24)</f>
        <v>7</v>
      </c>
      <c r="C24" s="36" t="n">
        <f aca="false">COUNTIF('02 Medium'!C:C,A24)</f>
        <v>9</v>
      </c>
      <c r="D24" s="36" t="n">
        <f aca="false">COUNTIF('03 Tough'!C:C,A24)</f>
        <v>8</v>
      </c>
      <c r="E24" s="36" t="n">
        <f aca="false">SUM(B24:D24)</f>
        <v>24</v>
      </c>
    </row>
    <row r="25" customFormat="false" ht="15" hidden="false" customHeight="false" outlineLevel="0" collapsed="false">
      <c r="A25" s="35" t="s">
        <v>613</v>
      </c>
      <c r="B25" s="36" t="n">
        <f aca="false">COUNTIF('01 Easy'!C:C,A25)</f>
        <v>7</v>
      </c>
      <c r="C25" s="36" t="n">
        <f aca="false">COUNTIF('02 Medium'!C:C,A25)</f>
        <v>9</v>
      </c>
      <c r="D25" s="36" t="n">
        <f aca="false">COUNTIF('03 Tough'!C:C,A25)</f>
        <v>10</v>
      </c>
      <c r="E25" s="36" t="n">
        <f aca="false">SUM(B25:D25)</f>
        <v>26</v>
      </c>
    </row>
    <row r="26" customFormat="false" ht="15" hidden="false" customHeight="false" outlineLevel="0" collapsed="false">
      <c r="A26" s="35" t="s">
        <v>664</v>
      </c>
      <c r="B26" s="36" t="n">
        <f aca="false">COUNTIF('01 Easy'!C:C,A26)</f>
        <v>7</v>
      </c>
      <c r="C26" s="36" t="n">
        <f aca="false">COUNTIF('02 Medium'!C:C,A26)</f>
        <v>9</v>
      </c>
      <c r="D26" s="36" t="n">
        <f aca="false">COUNTIF('03 Tough'!C:C,A26)</f>
        <v>8</v>
      </c>
      <c r="E26" s="36" t="n">
        <f aca="false">SUM(B26:D26)</f>
        <v>24</v>
      </c>
    </row>
    <row r="27" customFormat="false" ht="15" hidden="false" customHeight="false" outlineLevel="0" collapsed="false">
      <c r="A27" s="35" t="s">
        <v>709</v>
      </c>
      <c r="B27" s="36" t="n">
        <f aca="false">COUNTIF('01 Easy'!C:C,A27)</f>
        <v>5</v>
      </c>
      <c r="C27" s="36" t="n">
        <f aca="false">COUNTIF('02 Medium'!C:C,A27)</f>
        <v>8</v>
      </c>
      <c r="D27" s="36" t="n">
        <f aca="false">COUNTIF('03 Tough'!C:C,A27)</f>
        <v>8</v>
      </c>
      <c r="E27" s="36" t="n">
        <f aca="false">SUM(B27:D27)</f>
        <v>21</v>
      </c>
    </row>
    <row r="28" customFormat="false" ht="15" hidden="false" customHeight="false" outlineLevel="0" collapsed="false">
      <c r="A28" s="37" t="s">
        <v>1358</v>
      </c>
      <c r="B28" s="36" t="n">
        <f aca="false">COUNTIF('01 Easy'!C:C,A28)</f>
        <v>0</v>
      </c>
      <c r="C28" s="36" t="n">
        <f aca="false">COUNTIF('02 Medium'!C:C,A28)</f>
        <v>2</v>
      </c>
      <c r="D28" s="36" t="n">
        <f aca="false">COUNTIF('03 Tough'!C:C,A28)</f>
        <v>0</v>
      </c>
      <c r="E28" s="36" t="n">
        <f aca="false">SUM(B28:D28)</f>
        <v>2</v>
      </c>
    </row>
    <row r="29" customFormat="false" ht="15" hidden="false" customHeight="false" outlineLevel="0" collapsed="false">
      <c r="A29" s="35" t="s">
        <v>2061</v>
      </c>
      <c r="B29" s="36" t="n">
        <f aca="false">COUNTIF('01 Easy'!C:C,A29)</f>
        <v>0</v>
      </c>
      <c r="C29" s="36" t="n">
        <f aca="false">COUNTIF('02 Medium'!C:C,A29)</f>
        <v>0</v>
      </c>
      <c r="D29" s="36" t="n">
        <f aca="false">COUNTIF('03 Tough'!C:C,A29)</f>
        <v>0</v>
      </c>
      <c r="E29" s="36" t="n">
        <f aca="false">SUM(B29:D29)</f>
        <v>0</v>
      </c>
    </row>
    <row r="30" customFormat="false" ht="15" hidden="false" customHeight="false" outlineLevel="0" collapsed="false">
      <c r="A30" s="35" t="s">
        <v>1955</v>
      </c>
      <c r="B30" s="36" t="n">
        <f aca="false">COUNTIF('01 Easy'!C:C,A30)</f>
        <v>0</v>
      </c>
      <c r="C30" s="36" t="n">
        <f aca="false">COUNTIF('02 Medium'!C:C,A30)</f>
        <v>0</v>
      </c>
      <c r="D30" s="36" t="n">
        <f aca="false">COUNTIF('03 Tough'!C:C,A30)</f>
        <v>1</v>
      </c>
      <c r="E30" s="36" t="n">
        <f aca="false">SUM(B30:D30)</f>
        <v>1</v>
      </c>
    </row>
    <row r="31" customFormat="false" ht="15" hidden="false" customHeight="false" outlineLevel="0" collapsed="false">
      <c r="A31" s="35" t="s">
        <v>1930</v>
      </c>
      <c r="B31" s="36" t="n">
        <f aca="false">COUNTIF('01 Easy'!C:C,A31)</f>
        <v>0</v>
      </c>
      <c r="C31" s="36" t="n">
        <f aca="false">COUNTIF('02 Medium'!C:C,A31)</f>
        <v>0</v>
      </c>
      <c r="D31" s="36" t="n">
        <f aca="false">COUNTIF('03 Tough'!C:C,A31)</f>
        <v>3</v>
      </c>
      <c r="E31" s="36" t="n">
        <f aca="false">SUM(B31:D31)</f>
        <v>3</v>
      </c>
    </row>
    <row r="34" customFormat="false" ht="15" hidden="false" customHeight="false" outlineLevel="0" collapsed="false">
      <c r="A34" s="38" t="s">
        <v>2062</v>
      </c>
    </row>
    <row r="35" customFormat="false" ht="48" hidden="false" customHeight="true" outlineLevel="0" collapsed="false">
      <c r="A35" s="39" t="s">
        <v>2063</v>
      </c>
      <c r="B35" s="39"/>
      <c r="C35" s="39"/>
      <c r="D35" s="39"/>
      <c r="E35" s="39"/>
    </row>
    <row r="36" customFormat="false" ht="15" hidden="false" customHeight="false" outlineLevel="0" collapsed="false">
      <c r="A36" s="39"/>
      <c r="B36" s="39"/>
      <c r="C36" s="39"/>
      <c r="D36" s="39"/>
      <c r="E36" s="39"/>
    </row>
    <row r="37" customFormat="false" ht="15" hidden="false" customHeight="false" outlineLevel="0" collapsed="false">
      <c r="A37" s="39"/>
      <c r="B37" s="39"/>
      <c r="C37" s="39"/>
      <c r="D37" s="39"/>
      <c r="E37" s="39"/>
    </row>
  </sheetData>
  <mergeCells count="3">
    <mergeCell ref="A1:G1"/>
    <mergeCell ref="A9:G9"/>
    <mergeCell ref="A35:E37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4E4F"/>
    <pageSetUpPr fitToPage="tru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40" t="s">
        <v>2064</v>
      </c>
      <c r="B1" s="40" t="s">
        <v>2065</v>
      </c>
      <c r="C1" s="40" t="s">
        <v>2066</v>
      </c>
    </row>
    <row r="2" customFormat="false" ht="25.5" hidden="false" customHeight="true" outlineLevel="0" collapsed="false">
      <c r="A2" s="41" t="s">
        <v>2067</v>
      </c>
      <c r="B2" s="41" t="s">
        <v>2068</v>
      </c>
      <c r="C2" s="41" t="s">
        <v>2069</v>
      </c>
    </row>
    <row r="3" customFormat="false" ht="25.5" hidden="false" customHeight="true" outlineLevel="0" collapsed="false">
      <c r="A3" s="4" t="s">
        <v>2070</v>
      </c>
      <c r="B3" s="4" t="s">
        <v>2071</v>
      </c>
      <c r="C3" s="4" t="s">
        <v>2072</v>
      </c>
    </row>
    <row r="4" customFormat="false" ht="25.5" hidden="false" customHeight="true" outlineLevel="0" collapsed="false">
      <c r="A4" s="41" t="s">
        <v>2073</v>
      </c>
      <c r="B4" s="41" t="s">
        <v>2074</v>
      </c>
      <c r="C4" s="41" t="s">
        <v>2075</v>
      </c>
    </row>
    <row r="5" customFormat="false" ht="25.5" hidden="false" customHeight="true" outlineLevel="0" collapsed="false">
      <c r="A5" s="4" t="s">
        <v>2076</v>
      </c>
      <c r="B5" s="4" t="s">
        <v>2077</v>
      </c>
      <c r="C5" s="4" t="s">
        <v>2078</v>
      </c>
    </row>
    <row r="6" customFormat="false" ht="25.5" hidden="false" customHeight="true" outlineLevel="0" collapsed="false">
      <c r="A6" s="41" t="s">
        <v>2079</v>
      </c>
      <c r="B6" s="41" t="s">
        <v>2080</v>
      </c>
      <c r="C6" s="41" t="s">
        <v>2081</v>
      </c>
    </row>
    <row r="7" customFormat="false" ht="25.5" hidden="false" customHeight="true" outlineLevel="0" collapsed="false">
      <c r="A7" s="4" t="s">
        <v>2082</v>
      </c>
      <c r="B7" s="4" t="s">
        <v>2083</v>
      </c>
      <c r="C7" s="4" t="s">
        <v>2084</v>
      </c>
    </row>
    <row r="8" customFormat="false" ht="25.5" hidden="false" customHeight="true" outlineLevel="0" collapsed="false">
      <c r="A8" s="41" t="s">
        <v>2085</v>
      </c>
      <c r="B8" s="41" t="s">
        <v>2086</v>
      </c>
      <c r="C8" s="41" t="s">
        <v>2087</v>
      </c>
    </row>
    <row r="9" customFormat="false" ht="25.5" hidden="false" customHeight="true" outlineLevel="0" collapsed="false">
      <c r="A9" s="4" t="s">
        <v>2088</v>
      </c>
      <c r="B9" s="4" t="s">
        <v>2089</v>
      </c>
      <c r="C9" s="4" t="s">
        <v>2090</v>
      </c>
    </row>
    <row r="10" customFormat="false" ht="25.5" hidden="false" customHeight="true" outlineLevel="0" collapsed="false">
      <c r="A10" s="41" t="s">
        <v>2091</v>
      </c>
      <c r="B10" s="41" t="s">
        <v>2092</v>
      </c>
      <c r="C10" s="41" t="s">
        <v>2093</v>
      </c>
    </row>
    <row r="11" customFormat="false" ht="25.5" hidden="false" customHeight="true" outlineLevel="0" collapsed="false">
      <c r="A11" s="4" t="s">
        <v>393</v>
      </c>
      <c r="B11" s="4" t="s">
        <v>2094</v>
      </c>
      <c r="C11" s="4" t="s">
        <v>2095</v>
      </c>
    </row>
    <row r="12" customFormat="false" ht="25.5" hidden="false" customHeight="true" outlineLevel="0" collapsed="false">
      <c r="A12" s="41" t="s">
        <v>2096</v>
      </c>
      <c r="B12" s="41" t="s">
        <v>2097</v>
      </c>
      <c r="C12" s="41" t="s">
        <v>2098</v>
      </c>
    </row>
    <row r="13" customFormat="false" ht="25.5" hidden="false" customHeight="true" outlineLevel="0" collapsed="false">
      <c r="A13" s="4" t="s">
        <v>2099</v>
      </c>
      <c r="B13" s="4" t="s">
        <v>2100</v>
      </c>
      <c r="C13" s="4" t="s">
        <v>2101</v>
      </c>
    </row>
    <row r="14" customFormat="false" ht="25.5" hidden="false" customHeight="true" outlineLevel="0" collapsed="false">
      <c r="A14" s="41" t="s">
        <v>2102</v>
      </c>
      <c r="B14" s="41" t="s">
        <v>2103</v>
      </c>
      <c r="C14" s="41" t="s">
        <v>2104</v>
      </c>
    </row>
    <row r="15" customFormat="false" ht="25.5" hidden="false" customHeight="true" outlineLevel="0" collapsed="false">
      <c r="A15" s="4" t="s">
        <v>2105</v>
      </c>
      <c r="B15" s="4" t="s">
        <v>1067</v>
      </c>
      <c r="C15" s="4" t="s">
        <v>1803</v>
      </c>
    </row>
    <row r="16" customFormat="false" ht="25.5" hidden="false" customHeight="true" outlineLevel="0" collapsed="false">
      <c r="A16" s="41" t="s">
        <v>2106</v>
      </c>
      <c r="B16" s="41" t="s">
        <v>2107</v>
      </c>
      <c r="C16" s="41" t="s">
        <v>2108</v>
      </c>
    </row>
    <row r="17" customFormat="false" ht="25.5" hidden="false" customHeight="true" outlineLevel="0" collapsed="false">
      <c r="A17" s="4" t="s">
        <v>2109</v>
      </c>
      <c r="B17" s="4" t="s">
        <v>2110</v>
      </c>
      <c r="C17" s="4" t="s">
        <v>2111</v>
      </c>
    </row>
    <row r="18" customFormat="false" ht="25.5" hidden="false" customHeight="true" outlineLevel="0" collapsed="false">
      <c r="A18" s="41" t="s">
        <v>2112</v>
      </c>
      <c r="B18" s="41" t="s">
        <v>2113</v>
      </c>
      <c r="C18" s="41" t="s">
        <v>2114</v>
      </c>
    </row>
    <row r="19" customFormat="false" ht="25.5" hidden="false" customHeight="true" outlineLevel="0" collapsed="false">
      <c r="A19" s="4" t="s">
        <v>2115</v>
      </c>
      <c r="B19" s="4" t="s">
        <v>2116</v>
      </c>
      <c r="C19" s="4" t="s">
        <v>2117</v>
      </c>
    </row>
    <row r="20" customFormat="false" ht="25.5" hidden="false" customHeight="true" outlineLevel="0" collapsed="false">
      <c r="A20" s="41" t="s">
        <v>2118</v>
      </c>
      <c r="B20" s="41" t="s">
        <v>2119</v>
      </c>
      <c r="C20" s="41" t="s">
        <v>2120</v>
      </c>
    </row>
    <row r="21" customFormat="false" ht="25.5" hidden="false" customHeight="true" outlineLevel="0" collapsed="false">
      <c r="A21" s="4" t="s">
        <v>2121</v>
      </c>
      <c r="B21" s="4" t="s">
        <v>2122</v>
      </c>
      <c r="C21" s="4" t="s">
        <v>2123</v>
      </c>
    </row>
    <row r="22" customFormat="false" ht="25.5" hidden="false" customHeight="true" outlineLevel="0" collapsed="false">
      <c r="A22" s="41" t="s">
        <v>414</v>
      </c>
      <c r="B22" s="41" t="s">
        <v>2124</v>
      </c>
      <c r="C22" s="41" t="s">
        <v>2125</v>
      </c>
    </row>
    <row r="23" customFormat="false" ht="25.5" hidden="false" customHeight="true" outlineLevel="0" collapsed="false">
      <c r="A23" s="4" t="s">
        <v>2126</v>
      </c>
      <c r="B23" s="4" t="s">
        <v>682</v>
      </c>
      <c r="C23" s="4" t="s">
        <v>2127</v>
      </c>
    </row>
    <row r="24" customFormat="false" ht="25.5" hidden="false" customHeight="true" outlineLevel="0" collapsed="false">
      <c r="A24" s="41" t="s">
        <v>2128</v>
      </c>
      <c r="B24" s="41" t="s">
        <v>2129</v>
      </c>
      <c r="C24" s="41" t="s">
        <v>2130</v>
      </c>
    </row>
    <row r="25" customFormat="false" ht="25.5" hidden="false" customHeight="true" outlineLevel="0" collapsed="false">
      <c r="A25" s="4" t="s">
        <v>2131</v>
      </c>
      <c r="B25" s="4" t="s">
        <v>2132</v>
      </c>
      <c r="C25" s="4" t="s">
        <v>1454</v>
      </c>
    </row>
    <row r="26" customFormat="false" ht="25.5" hidden="false" customHeight="true" outlineLevel="0" collapsed="false">
      <c r="A26" s="41" t="s">
        <v>2133</v>
      </c>
      <c r="B26" s="41" t="s">
        <v>2132</v>
      </c>
      <c r="C26" s="41" t="s">
        <v>2134</v>
      </c>
    </row>
    <row r="27" customFormat="false" ht="25.5" hidden="false" customHeight="true" outlineLevel="0" collapsed="false">
      <c r="A27" s="4" t="s">
        <v>2135</v>
      </c>
      <c r="B27" s="4" t="s">
        <v>722</v>
      </c>
      <c r="C27" s="4" t="s">
        <v>2136</v>
      </c>
    </row>
    <row r="28" customFormat="false" ht="25.5" hidden="false" customHeight="true" outlineLevel="0" collapsed="false">
      <c r="A28" s="41" t="s">
        <v>2137</v>
      </c>
      <c r="B28" s="41" t="s">
        <v>2138</v>
      </c>
      <c r="C28" s="41" t="s">
        <v>2139</v>
      </c>
    </row>
    <row r="29" customFormat="false" ht="25.5" hidden="false" customHeight="true" outlineLevel="0" collapsed="false">
      <c r="A29" s="4" t="s">
        <v>2140</v>
      </c>
      <c r="B29" s="4" t="s">
        <v>2141</v>
      </c>
      <c r="C29" s="4" t="s">
        <v>1936</v>
      </c>
    </row>
    <row r="30" customFormat="false" ht="25.5" hidden="false" customHeight="true" outlineLevel="0" collapsed="false">
      <c r="A30" s="41" t="s">
        <v>2142</v>
      </c>
      <c r="B30" s="41" t="s">
        <v>2143</v>
      </c>
      <c r="C30" s="41" t="s">
        <v>2144</v>
      </c>
    </row>
    <row r="31" customFormat="false" ht="25.5" hidden="false" customHeight="true" outlineLevel="0" collapsed="false">
      <c r="A31" s="4" t="s">
        <v>2145</v>
      </c>
      <c r="B31" s="4" t="s">
        <v>2146</v>
      </c>
      <c r="C31" s="4" t="s">
        <v>2147</v>
      </c>
    </row>
    <row r="32" customFormat="false" ht="25.5" hidden="false" customHeight="true" outlineLevel="0" collapsed="false">
      <c r="A32" s="41" t="s">
        <v>2148</v>
      </c>
      <c r="B32" s="41" t="s">
        <v>2149</v>
      </c>
      <c r="C32" s="41" t="s">
        <v>2150</v>
      </c>
    </row>
    <row r="33" customFormat="false" ht="25.5" hidden="false" customHeight="true" outlineLevel="0" collapsed="false">
      <c r="A33" s="4" t="s">
        <v>2151</v>
      </c>
      <c r="B33" s="4" t="s">
        <v>2152</v>
      </c>
      <c r="C33" s="4" t="s">
        <v>2153</v>
      </c>
    </row>
    <row r="34" customFormat="false" ht="25.5" hidden="false" customHeight="true" outlineLevel="0" collapsed="false">
      <c r="A34" s="41" t="s">
        <v>2154</v>
      </c>
      <c r="B34" s="41" t="s">
        <v>2155</v>
      </c>
      <c r="C34" s="41" t="s">
        <v>2156</v>
      </c>
    </row>
    <row r="35" customFormat="false" ht="25.5" hidden="false" customHeight="true" outlineLevel="0" collapsed="false">
      <c r="A35" s="4" t="s">
        <v>2157</v>
      </c>
      <c r="B35" s="4" t="s">
        <v>2158</v>
      </c>
      <c r="C35" s="4" t="s">
        <v>2159</v>
      </c>
    </row>
    <row r="36" customFormat="false" ht="25.5" hidden="false" customHeight="true" outlineLevel="0" collapsed="false">
      <c r="A36" s="41" t="s">
        <v>2160</v>
      </c>
      <c r="B36" s="41" t="s">
        <v>2161</v>
      </c>
      <c r="C36" s="41" t="s">
        <v>2162</v>
      </c>
    </row>
    <row r="37" customFormat="false" ht="25.5" hidden="false" customHeight="true" outlineLevel="0" collapsed="false">
      <c r="A37" s="4" t="s">
        <v>2163</v>
      </c>
      <c r="B37" s="4" t="s">
        <v>2164</v>
      </c>
      <c r="C37" s="4" t="s">
        <v>2165</v>
      </c>
    </row>
    <row r="38" customFormat="false" ht="25.5" hidden="false" customHeight="true" outlineLevel="0" collapsed="false">
      <c r="A38" s="41" t="s">
        <v>2166</v>
      </c>
      <c r="B38" s="41" t="s">
        <v>2167</v>
      </c>
      <c r="C38" s="41" t="s">
        <v>2168</v>
      </c>
    </row>
    <row r="39" customFormat="false" ht="25.5" hidden="false" customHeight="true" outlineLevel="0" collapsed="false">
      <c r="A39" s="4" t="s">
        <v>2169</v>
      </c>
      <c r="B39" s="4" t="s">
        <v>2170</v>
      </c>
      <c r="C39" s="4" t="s">
        <v>2171</v>
      </c>
    </row>
    <row r="40" customFormat="false" ht="25.5" hidden="false" customHeight="true" outlineLevel="0" collapsed="false">
      <c r="A40" s="41" t="s">
        <v>2172</v>
      </c>
      <c r="B40" s="41" t="s">
        <v>2173</v>
      </c>
      <c r="C40" s="41" t="s">
        <v>2174</v>
      </c>
    </row>
    <row r="41" customFormat="false" ht="25.5" hidden="false" customHeight="true" outlineLevel="0" collapsed="false">
      <c r="A41" s="4" t="s">
        <v>2175</v>
      </c>
      <c r="B41" s="4" t="s">
        <v>2176</v>
      </c>
      <c r="C41" s="4" t="s">
        <v>2177</v>
      </c>
    </row>
  </sheetData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&amp;LPlaywright Gym practice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2026-09-28T11:48:37Z</dcterms:created>
  <dc:creator>openpyxl</dc:creator>
  <dc:description/>
  <dc:language>en-US</dc:language>
  <cp:lastModifiedBy/>
  <dcterms:modified xsi:type="dcterms:W3CDTF">2026-09-28T11:48:41Z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